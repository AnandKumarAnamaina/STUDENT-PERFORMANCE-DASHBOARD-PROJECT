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Courses &amp; Projects\"/>
    </mc:Choice>
  </mc:AlternateContent>
  <xr:revisionPtr revIDLastSave="0" documentId="8_{513B38B3-A770-42C2-A3AC-CD32A81FC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4" r:id="rId1"/>
    <sheet name="Pivot Tables" sheetId="3" r:id="rId2"/>
    <sheet name="Student_Dat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4" l="1"/>
  <c r="P17" i="4"/>
  <c r="P13" i="4"/>
  <c r="O7" i="4"/>
  <c r="O6" i="4"/>
  <c r="J7" i="4"/>
  <c r="J6" i="4"/>
  <c r="F7" i="4"/>
  <c r="F6" i="4"/>
  <c r="B7" i="4"/>
  <c r="B6" i="4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H2" i="1"/>
  <c r="G2" i="1"/>
  <c r="K6" i="1"/>
  <c r="K5" i="1"/>
  <c r="K4" i="1"/>
  <c r="K3" i="1"/>
  <c r="Q17" i="4"/>
  <c r="Q21" i="4"/>
  <c r="Q13" i="4"/>
</calcChain>
</file>

<file path=xl/sharedStrings.xml><?xml version="1.0" encoding="utf-8"?>
<sst xmlns="http://schemas.openxmlformats.org/spreadsheetml/2006/main" count="372" uniqueCount="62">
  <si>
    <t>Student_ID</t>
  </si>
  <si>
    <t>Name</t>
  </si>
  <si>
    <t>Branch</t>
  </si>
  <si>
    <t>Subject</t>
  </si>
  <si>
    <t>Marks</t>
  </si>
  <si>
    <t>Attendance</t>
  </si>
  <si>
    <t>Swathi</t>
  </si>
  <si>
    <t>ME</t>
  </si>
  <si>
    <t>Programming</t>
  </si>
  <si>
    <t>Manoj</t>
  </si>
  <si>
    <t>EEE</t>
  </si>
  <si>
    <t>Chemistry</t>
  </si>
  <si>
    <t>Anu</t>
  </si>
  <si>
    <t>ECE</t>
  </si>
  <si>
    <t>Math</t>
  </si>
  <si>
    <t>Rohit</t>
  </si>
  <si>
    <t>Ravi</t>
  </si>
  <si>
    <t>English</t>
  </si>
  <si>
    <t>Priya</t>
  </si>
  <si>
    <t>Physics</t>
  </si>
  <si>
    <t>Arjun</t>
  </si>
  <si>
    <t>CSE</t>
  </si>
  <si>
    <t>Vikram</t>
  </si>
  <si>
    <t>Deepika</t>
  </si>
  <si>
    <t>Meena</t>
  </si>
  <si>
    <t>Kavya</t>
  </si>
  <si>
    <t>Raj</t>
  </si>
  <si>
    <t>Neha</t>
  </si>
  <si>
    <t>Suresh</t>
  </si>
  <si>
    <t>Kiran</t>
  </si>
  <si>
    <t>Pooja</t>
  </si>
  <si>
    <t>Sneha</t>
  </si>
  <si>
    <t>Divya</t>
  </si>
  <si>
    <t>Aman</t>
  </si>
  <si>
    <t>Rahul</t>
  </si>
  <si>
    <t>Total Students</t>
  </si>
  <si>
    <t>Lowest Marks</t>
  </si>
  <si>
    <t>BASIC ANALYSIS</t>
  </si>
  <si>
    <t>Result</t>
  </si>
  <si>
    <t>Performance Level</t>
  </si>
  <si>
    <t>Row Labels</t>
  </si>
  <si>
    <t>Grand Total</t>
  </si>
  <si>
    <t>Sum of Marks</t>
  </si>
  <si>
    <t>Average of Marks</t>
  </si>
  <si>
    <t>Performance by Branch</t>
  </si>
  <si>
    <t>Subject-wise Analysis</t>
  </si>
  <si>
    <t>Pass/Fail Count</t>
  </si>
  <si>
    <t>Fail</t>
  </si>
  <si>
    <t>Pass</t>
  </si>
  <si>
    <t>Count of Result</t>
  </si>
  <si>
    <t>Average Marks</t>
  </si>
  <si>
    <t>Highest Marks</t>
  </si>
  <si>
    <t>Top-1</t>
  </si>
  <si>
    <t>Top-2</t>
  </si>
  <si>
    <t>Top-3</t>
  </si>
  <si>
    <t>Count of Performance Level</t>
  </si>
  <si>
    <t>Average</t>
  </si>
  <si>
    <t>Excellent</t>
  </si>
  <si>
    <t>Good</t>
  </si>
  <si>
    <t>Poor</t>
  </si>
  <si>
    <t>PIVOT ANALYSIS</t>
  </si>
  <si>
    <t>Student Score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</si>
</sst>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DASHBOARD PROJECT.xlsx]Pivot Tables!PivotTable2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Performance by Branch</a:t>
            </a:r>
            <a:endParaRPr lang="en-US" b="1"/>
          </a:p>
        </c:rich>
      </c:tx>
      <c:overlay val="0"/>
      <c:spPr>
        <a:solidFill>
          <a:schemeClr val="accent4"/>
        </a:solidFill>
        <a:ln w="38100" cap="flat" cmpd="sng" algn="ctr">
          <a:solidFill>
            <a:schemeClr val="lt1"/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Tables'!$C$8:$C$12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ME</c:v>
                </c:pt>
              </c:strCache>
            </c:strRef>
          </c:cat>
          <c:val>
            <c:numRef>
              <c:f>'Pivot Tables'!$D$8:$D$12</c:f>
              <c:numCache>
                <c:formatCode>General</c:formatCode>
                <c:ptCount val="4"/>
                <c:pt idx="0">
                  <c:v>67.421052631578945</c:v>
                </c:pt>
                <c:pt idx="1">
                  <c:v>61.5</c:v>
                </c:pt>
                <c:pt idx="2">
                  <c:v>61.703703703703702</c:v>
                </c:pt>
                <c:pt idx="3">
                  <c:v>67.178571428571431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4-4778-803F-409E8FC3EF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2236736"/>
        <c:axId val="1232238656"/>
      </c:barChart>
      <c:catAx>
        <c:axId val="123223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38656"/>
        <c:crosses val="autoZero"/>
        <c:auto val="1"/>
        <c:lblAlgn val="ctr"/>
        <c:lblOffset val="100"/>
        <c:noMultiLvlLbl val="0"/>
      </c:catAx>
      <c:valAx>
        <c:axId val="123223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3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accent3"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DASHBOARD PROJECT.xlsx]Pivot Tables!PivotTable4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Pass vs Fail</a:t>
            </a:r>
            <a:endParaRPr lang="en-US" b="1"/>
          </a:p>
        </c:rich>
      </c:tx>
      <c:overlay val="0"/>
      <c:spPr>
        <a:solidFill>
          <a:schemeClr val="accent4"/>
        </a:solidFill>
        <a:ln w="38100" cap="flat" cmpd="sng" algn="ctr">
          <a:solidFill>
            <a:schemeClr val="lt1"/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25286920420756"/>
              <c:y val="0.171806716398561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13734256801262"/>
              <c:y val="-0.199621783339229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567214830178366E-2"/>
          <c:y val="0.18202863017326285"/>
          <c:w val="0.68850060139679714"/>
          <c:h val="0.71067033346326303"/>
        </c:manualLayout>
      </c:layout>
      <c:pieChart>
        <c:varyColors val="1"/>
        <c:ser>
          <c:idx val="0"/>
          <c:order val="0"/>
          <c:tx>
            <c:strRef>
              <c:f>'Pivot Tables'!$J$7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85-465C-A751-94860FB0ED21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85-465C-A751-94860FB0ED21}"/>
              </c:ext>
            </c:extLst>
          </c:dPt>
          <c:dLbls>
            <c:dLbl>
              <c:idx val="0"/>
              <c:layout>
                <c:manualLayout>
                  <c:x val="-0.11125286920420756"/>
                  <c:y val="0.1718067163985610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85-465C-A751-94860FB0ED21}"/>
                </c:ext>
              </c:extLst>
            </c:dLbl>
            <c:dLbl>
              <c:idx val="1"/>
              <c:layout>
                <c:manualLayout>
                  <c:x val="0.11913734256801262"/>
                  <c:y val="-0.1996217833392298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85-465C-A751-94860FB0ED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Tables'!$I$8:$I$10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'Pivot Tables'!$J$8:$J$10</c:f>
              <c:numCache>
                <c:formatCode>General</c:formatCode>
                <c:ptCount val="2"/>
                <c:pt idx="0">
                  <c:v>23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85-465C-A751-94860FB0E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02687584273022"/>
          <c:y val="0.706381535293785"/>
          <c:w val="0.17134836116670255"/>
          <c:h val="0.23484470913088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accent3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DASHBOARD PROJECT.xlsx]Pivot Tables!PivotTable3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Subject Performance</a:t>
            </a:r>
            <a:endParaRPr lang="en-US"/>
          </a:p>
        </c:rich>
      </c:tx>
      <c:overlay val="0"/>
      <c:spPr>
        <a:solidFill>
          <a:schemeClr val="accent4"/>
        </a:solidFill>
        <a:ln w="38100" cap="flat" cmpd="sng" algn="ctr">
          <a:solidFill>
            <a:schemeClr val="lt1"/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Tables'!$F$8:$F$13</c:f>
              <c:strCache>
                <c:ptCount val="5"/>
                <c:pt idx="0">
                  <c:v>Chemistry</c:v>
                </c:pt>
                <c:pt idx="1">
                  <c:v>English</c:v>
                </c:pt>
                <c:pt idx="2">
                  <c:v>Math</c:v>
                </c:pt>
                <c:pt idx="3">
                  <c:v>Physics</c:v>
                </c:pt>
                <c:pt idx="4">
                  <c:v>Programming</c:v>
                </c:pt>
              </c:strCache>
            </c:strRef>
          </c:cat>
          <c:val>
            <c:numRef>
              <c:f>'Pivot Tables'!$G$8:$G$13</c:f>
              <c:numCache>
                <c:formatCode>General</c:formatCode>
                <c:ptCount val="5"/>
                <c:pt idx="0">
                  <c:v>71.45</c:v>
                </c:pt>
                <c:pt idx="1">
                  <c:v>66.555555555555557</c:v>
                </c:pt>
                <c:pt idx="2">
                  <c:v>56.88</c:v>
                </c:pt>
                <c:pt idx="3">
                  <c:v>65.368421052631575</c:v>
                </c:pt>
                <c:pt idx="4">
                  <c:v>63.111111111111114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B-4AED-99C7-35208D84A9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2286176"/>
        <c:axId val="1232286656"/>
      </c:barChart>
      <c:catAx>
        <c:axId val="123228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86656"/>
        <c:crosses val="autoZero"/>
        <c:auto val="1"/>
        <c:lblAlgn val="ctr"/>
        <c:lblOffset val="100"/>
        <c:noMultiLvlLbl val="0"/>
      </c:catAx>
      <c:valAx>
        <c:axId val="12322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861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accent3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DASHBOARD PROJECT.xlsx]Pivot Tables!PivotTable9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Performance Level</a:t>
            </a:r>
            <a:endParaRPr lang="en-US" b="1"/>
          </a:p>
        </c:rich>
      </c:tx>
      <c:overlay val="0"/>
      <c:spPr>
        <a:solidFill>
          <a:schemeClr val="accent4"/>
        </a:solidFill>
        <a:ln w="38100" cap="flat" cmpd="sng" algn="ctr">
          <a:solidFill>
            <a:schemeClr val="lt1"/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Tables'!$M$7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Tables'!$L$8:$L$12</c:f>
              <c:strCache>
                <c:ptCount val="4"/>
                <c:pt idx="0">
                  <c:v>Poor</c:v>
                </c:pt>
                <c:pt idx="1">
                  <c:v>Average</c:v>
                </c:pt>
                <c:pt idx="2">
                  <c:v>Excellent</c:v>
                </c:pt>
                <c:pt idx="3">
                  <c:v>Good</c:v>
                </c:pt>
              </c:strCache>
            </c:strRef>
          </c:cat>
          <c:val>
            <c:numRef>
              <c:f>'Pivot Tables'!$M$8:$M$12</c:f>
              <c:numCache>
                <c:formatCode>General</c:formatCode>
                <c:ptCount val="4"/>
                <c:pt idx="0">
                  <c:v>42</c:v>
                </c:pt>
                <c:pt idx="1">
                  <c:v>31</c:v>
                </c:pt>
                <c:pt idx="2">
                  <c:v>17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0-4BC9-BCDA-E3D559F28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430256"/>
        <c:axId val="721437456"/>
      </c:barChart>
      <c:catAx>
        <c:axId val="7214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437456"/>
        <c:crosses val="autoZero"/>
        <c:auto val="1"/>
        <c:lblAlgn val="ctr"/>
        <c:lblOffset val="100"/>
        <c:noMultiLvlLbl val="0"/>
      </c:catAx>
      <c:valAx>
        <c:axId val="7214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43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152891</xdr:rowOff>
    </xdr:from>
    <xdr:to>
      <xdr:col>9</xdr:col>
      <xdr:colOff>212694</xdr:colOff>
      <xdr:row>24</xdr:row>
      <xdr:rowOff>110970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71567-6062-49F0-A19C-3A2AD8380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283615</xdr:colOff>
      <xdr:row>10</xdr:row>
      <xdr:rowOff>151861</xdr:rowOff>
    </xdr:from>
    <xdr:to>
      <xdr:col>14</xdr:col>
      <xdr:colOff>453131</xdr:colOff>
      <xdr:row>24</xdr:row>
      <xdr:rowOff>92476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1F4C00-39DC-45D3-AEEB-92EE83CD6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74122</xdr:rowOff>
    </xdr:from>
    <xdr:to>
      <xdr:col>9</xdr:col>
      <xdr:colOff>184952</xdr:colOff>
      <xdr:row>39</xdr:row>
      <xdr:rowOff>9246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4855A6-BF8E-481F-827A-6C906AC62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</xdr:row>
      <xdr:rowOff>30237</xdr:rowOff>
    </xdr:from>
    <xdr:to>
      <xdr:col>18</xdr:col>
      <xdr:colOff>27743</xdr:colOff>
      <xdr:row>3</xdr:row>
      <xdr:rowOff>64733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466979E-BE7B-E482-B565-29E405420C8B}"/>
            </a:ext>
          </a:extLst>
        </xdr:cNvPr>
        <xdr:cNvSpPr/>
      </xdr:nvSpPr>
      <xdr:spPr>
        <a:xfrm>
          <a:off x="80634" y="30237"/>
          <a:ext cx="9296405" cy="422894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Student Performance Dashboard </a:t>
          </a:r>
          <a:endParaRPr lang="en-US" sz="1400" b="1" i="0" u="none" strike="noStrike" kern="1200" spc="0" baseline="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314419</xdr:colOff>
      <xdr:row>25</xdr:row>
      <xdr:rowOff>27742</xdr:rowOff>
    </xdr:from>
    <xdr:to>
      <xdr:col>18</xdr:col>
      <xdr:colOff>21897</xdr:colOff>
      <xdr:row>39</xdr:row>
      <xdr:rowOff>43793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0C098D-F687-4150-9F81-A7218AEB3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ANAND KUMAR" refreshedDate="46130.80653425926" createdVersion="8" refreshedVersion="8" minRefreshableVersion="3" recordCount="100" xr:uid="{09B06914-F9D7-4062-BA78-F4B177649F16}">
  <cacheSource type="worksheet">
    <worksheetSource ref="A1:H101" sheet="Student_Data"/>
  </cacheSource>
  <cacheFields count="8">
    <cacheField name="Student_ID" numFmtId="0">
      <sharedItems containsSemiMixedTypes="0" containsString="0" containsNumber="1" containsInteger="1" minValue="1001" maxValue="1100"/>
    </cacheField>
    <cacheField name="Name" numFmtId="0">
      <sharedItems count="20">
        <s v="Swathi"/>
        <s v="Manoj"/>
        <s v="Anu"/>
        <s v="Rohit"/>
        <s v="Ravi"/>
        <s v="Priya"/>
        <s v="Arjun"/>
        <s v="Vikram"/>
        <s v="Deepika"/>
        <s v="Meena"/>
        <s v="Kavya"/>
        <s v="Raj"/>
        <s v="Neha"/>
        <s v="Suresh"/>
        <s v="Kiran"/>
        <s v="Pooja"/>
        <s v="Sneha"/>
        <s v="Divya"/>
        <s v="Aman"/>
        <s v="Rahul"/>
      </sharedItems>
    </cacheField>
    <cacheField name="Branch" numFmtId="0">
      <sharedItems count="4">
        <s v="ME"/>
        <s v="EEE"/>
        <s v="ECE"/>
        <s v="CSE"/>
      </sharedItems>
    </cacheField>
    <cacheField name="Subject" numFmtId="0">
      <sharedItems count="5">
        <s v="Programming"/>
        <s v="Chemistry"/>
        <s v="Math"/>
        <s v="English"/>
        <s v="Physics"/>
      </sharedItems>
    </cacheField>
    <cacheField name="Marks" numFmtId="0">
      <sharedItems containsSemiMixedTypes="0" containsString="0" containsNumber="1" containsInteger="1" minValue="30" maxValue="100" count="51">
        <n v="73"/>
        <n v="79"/>
        <n v="30"/>
        <n v="36"/>
        <n v="98"/>
        <n v="64"/>
        <n v="100"/>
        <n v="54"/>
        <n v="63"/>
        <n v="68"/>
        <n v="45"/>
        <n v="55"/>
        <n v="35"/>
        <n v="75"/>
        <n v="83"/>
        <n v="41"/>
        <n v="70"/>
        <n v="40"/>
        <n v="96"/>
        <n v="89"/>
        <n v="50"/>
        <n v="90"/>
        <n v="61"/>
        <n v="72"/>
        <n v="95"/>
        <n v="74"/>
        <n v="97"/>
        <n v="93"/>
        <n v="60"/>
        <n v="66"/>
        <n v="31"/>
        <n v="69"/>
        <n v="91"/>
        <n v="43"/>
        <n v="59"/>
        <n v="80"/>
        <n v="39"/>
        <n v="86"/>
        <n v="46"/>
        <n v="48"/>
        <n v="56"/>
        <n v="85"/>
        <n v="42"/>
        <n v="67"/>
        <n v="57"/>
        <n v="34"/>
        <n v="51"/>
        <n v="78"/>
        <n v="52"/>
        <n v="92"/>
        <n v="47"/>
      </sharedItems>
    </cacheField>
    <cacheField name="Attendance" numFmtId="0">
      <sharedItems containsSemiMixedTypes="0" containsString="0" containsNumber="1" containsInteger="1" minValue="60" maxValue="100"/>
    </cacheField>
    <cacheField name="Result" numFmtId="0">
      <sharedItems count="2">
        <s v="Pass"/>
        <s v="Fail"/>
      </sharedItems>
    </cacheField>
    <cacheField name="Performance Level" numFmtId="0">
      <sharedItems count="4">
        <s v="Average"/>
        <s v="Poor"/>
        <s v="Excellent"/>
        <s v="Good"/>
      </sharedItems>
    </cacheField>
  </cacheFields>
  <extLst>
    <ext xmlns:x14="http://schemas.microsoft.com/office/spreadsheetml/2009/9/main" uri="{725AE2AE-9491-48be-B2B4-4EB974FC3084}">
      <x14:pivotCacheDefinition pivotCacheId="1019376875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6DC88-CECE-439A-B456-3DFD71622BC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L7:M12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Count of Performance Level" fld="7" subtotal="count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9CD31-AC70-42B1-B985-49FB012432E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J35" firstHeaderRow="1" firstDataRow="1" firstDataCol="1"/>
  <pivotFields count="8">
    <pivotField showAll="0"/>
    <pivotField axis="axisRow" showAll="0" sortType="descending">
      <items count="21">
        <item x="18"/>
        <item x="2"/>
        <item x="6"/>
        <item x="8"/>
        <item x="17"/>
        <item x="10"/>
        <item x="14"/>
        <item x="1"/>
        <item x="9"/>
        <item x="12"/>
        <item x="15"/>
        <item x="5"/>
        <item x="19"/>
        <item x="11"/>
        <item x="4"/>
        <item x="3"/>
        <item x="16"/>
        <item x="13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52">
        <item x="2"/>
        <item x="30"/>
        <item x="45"/>
        <item x="12"/>
        <item x="3"/>
        <item x="36"/>
        <item x="17"/>
        <item x="15"/>
        <item x="42"/>
        <item x="33"/>
        <item x="10"/>
        <item x="38"/>
        <item x="50"/>
        <item x="39"/>
        <item x="20"/>
        <item x="46"/>
        <item x="48"/>
        <item x="7"/>
        <item x="11"/>
        <item x="40"/>
        <item x="44"/>
        <item x="34"/>
        <item x="28"/>
        <item x="22"/>
        <item x="8"/>
        <item x="5"/>
        <item x="29"/>
        <item x="43"/>
        <item x="9"/>
        <item x="31"/>
        <item x="16"/>
        <item x="23"/>
        <item x="0"/>
        <item x="25"/>
        <item x="13"/>
        <item x="47"/>
        <item x="1"/>
        <item x="35"/>
        <item x="14"/>
        <item x="41"/>
        <item x="37"/>
        <item x="19"/>
        <item x="21"/>
        <item x="32"/>
        <item x="49"/>
        <item x="27"/>
        <item x="24"/>
        <item x="18"/>
        <item x="26"/>
        <item x="4"/>
        <item x="6"/>
        <item t="default"/>
      </items>
    </pivotField>
    <pivotField showAll="0"/>
    <pivotField showAll="0"/>
    <pivotField showAll="0"/>
  </pivotFields>
  <rowFields count="1">
    <field x="1"/>
  </rowFields>
  <rowItems count="21">
    <i>
      <x v="2"/>
    </i>
    <i>
      <x v="9"/>
    </i>
    <i>
      <x v="1"/>
    </i>
    <i>
      <x v="6"/>
    </i>
    <i>
      <x v="5"/>
    </i>
    <i>
      <x v="7"/>
    </i>
    <i>
      <x/>
    </i>
    <i>
      <x v="14"/>
    </i>
    <i>
      <x v="17"/>
    </i>
    <i>
      <x v="15"/>
    </i>
    <i>
      <x v="8"/>
    </i>
    <i>
      <x v="3"/>
    </i>
    <i>
      <x v="13"/>
    </i>
    <i>
      <x v="18"/>
    </i>
    <i>
      <x v="4"/>
    </i>
    <i>
      <x v="12"/>
    </i>
    <i>
      <x v="11"/>
    </i>
    <i>
      <x v="16"/>
    </i>
    <i>
      <x v="10"/>
    </i>
    <i>
      <x v="19"/>
    </i>
    <i t="grand">
      <x/>
    </i>
  </rowItems>
  <colItems count="1">
    <i/>
  </colItems>
  <dataFields count="1">
    <dataField name="Sum of Mark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CDC5F-5688-4BFD-8E79-4EF92189985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I7:J10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Result" fld="6" subtotal="count" baseField="6" baseItem="0"/>
  </dataFields>
  <chartFormats count="3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6DBE4-E0B9-403A-8810-B8FA1D3B74C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:G13" firstHeaderRow="1" firstDataRow="1" firstDataCol="1"/>
  <pivotFields count="8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arks" fld="4" subtotal="average" baseField="3" baseItem="0"/>
  </dataFields>
  <formats count="2"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C415A-1F43-4A50-8BB6-B2FC16AF66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C7:D12" firstHeaderRow="1" firstDataRow="1" firstDataCol="1"/>
  <pivotFields count="8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arks" fld="4" subtotal="average" baseField="2" baseItem="0"/>
  </dataFields>
  <chartFormats count="2"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2E49-6714-4A28-8C54-9C1BF75FF859}">
  <dimension ref="B1:T41"/>
  <sheetViews>
    <sheetView showGridLines="0" tabSelected="1" zoomScale="90" zoomScaleNormal="90" workbookViewId="0">
      <selection activeCell="T16" sqref="T16"/>
    </sheetView>
  </sheetViews>
  <sheetFormatPr defaultColWidth="0" defaultRowHeight="15" zeroHeight="1" x14ac:dyDescent="0.25"/>
  <cols>
    <col min="1" max="4" width="9.140625" customWidth="1"/>
    <col min="5" max="5" width="5.7109375" customWidth="1"/>
    <col min="6" max="8" width="9.140625" customWidth="1"/>
    <col min="9" max="9" width="5.7109375" customWidth="1"/>
    <col min="10" max="12" width="9.140625" customWidth="1"/>
    <col min="13" max="14" width="5.7109375" customWidth="1"/>
    <col min="15" max="20" width="9.140625" customWidth="1"/>
    <col min="21" max="16384" width="9.140625" hidden="1"/>
  </cols>
  <sheetData>
    <row r="1" spans="2:20" x14ac:dyDescent="0.25"/>
    <row r="2" spans="2:20" x14ac:dyDescent="0.2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2:20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2:20" ht="9.9499999999999993" customHeight="1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2:20" ht="9.9499999999999993" customHeight="1" thickBot="1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2:20" s="10" customFormat="1" ht="19.5" customHeight="1" thickBot="1" x14ac:dyDescent="0.3">
      <c r="B6" s="22" t="str">
        <f>+Student_Data!J3</f>
        <v>Total Students</v>
      </c>
      <c r="C6" s="23"/>
      <c r="D6" s="24"/>
      <c r="F6" s="22" t="str">
        <f>+Student_Data!J4</f>
        <v>Average Marks</v>
      </c>
      <c r="G6" s="23"/>
      <c r="H6" s="24"/>
      <c r="J6" s="22" t="str">
        <f>+Student_Data!J5</f>
        <v>Highest Marks</v>
      </c>
      <c r="K6" s="23"/>
      <c r="L6" s="23"/>
      <c r="M6" s="24"/>
      <c r="O6" s="22" t="str">
        <f>+Student_Data!J6</f>
        <v>Lowest Marks</v>
      </c>
      <c r="P6" s="23"/>
      <c r="Q6" s="23"/>
      <c r="R6" s="24"/>
    </row>
    <row r="7" spans="2:20" ht="15" customHeight="1" x14ac:dyDescent="0.25">
      <c r="B7" s="16">
        <f>+Student_Data!K3</f>
        <v>100</v>
      </c>
      <c r="C7" s="17"/>
      <c r="D7" s="18"/>
      <c r="F7" s="16">
        <f>+Student_Data!K4</f>
        <v>64.27</v>
      </c>
      <c r="G7" s="17"/>
      <c r="H7" s="18"/>
      <c r="J7" s="16">
        <f>+Student_Data!K5</f>
        <v>100</v>
      </c>
      <c r="K7" s="17"/>
      <c r="L7" s="17"/>
      <c r="M7" s="18"/>
      <c r="O7" s="16">
        <f>+Student_Data!K6</f>
        <v>30</v>
      </c>
      <c r="P7" s="17"/>
      <c r="Q7" s="17"/>
      <c r="R7" s="18"/>
    </row>
    <row r="8" spans="2:20" ht="15" customHeight="1" x14ac:dyDescent="0.25">
      <c r="B8" s="16"/>
      <c r="C8" s="17"/>
      <c r="D8" s="18"/>
      <c r="F8" s="16"/>
      <c r="G8" s="17"/>
      <c r="H8" s="18"/>
      <c r="J8" s="16"/>
      <c r="K8" s="17"/>
      <c r="L8" s="17"/>
      <c r="M8" s="18"/>
      <c r="O8" s="16"/>
      <c r="P8" s="17"/>
      <c r="Q8" s="17"/>
      <c r="R8" s="18"/>
    </row>
    <row r="9" spans="2:20" ht="15.75" customHeight="1" thickBot="1" x14ac:dyDescent="0.3">
      <c r="B9" s="19"/>
      <c r="C9" s="20"/>
      <c r="D9" s="21"/>
      <c r="F9" s="19"/>
      <c r="G9" s="20"/>
      <c r="H9" s="21"/>
      <c r="J9" s="19"/>
      <c r="K9" s="20"/>
      <c r="L9" s="20"/>
      <c r="M9" s="21"/>
      <c r="O9" s="19"/>
      <c r="P9" s="20"/>
      <c r="Q9" s="20"/>
      <c r="R9" s="21"/>
    </row>
    <row r="10" spans="2:20" x14ac:dyDescent="0.25"/>
    <row r="11" spans="2:20" s="10" customFormat="1" ht="18.75" customHeight="1" thickBot="1" x14ac:dyDescent="0.3"/>
    <row r="12" spans="2:20" ht="15.75" thickBot="1" x14ac:dyDescent="0.3">
      <c r="P12" s="27" t="s">
        <v>52</v>
      </c>
      <c r="Q12" s="28"/>
      <c r="R12" s="29"/>
    </row>
    <row r="13" spans="2:20" x14ac:dyDescent="0.25">
      <c r="P13" s="32" t="str">
        <f>'Pivot Tables'!I15</f>
        <v>Arjun</v>
      </c>
      <c r="Q13" s="30">
        <f>+GETPIVOTDATA("Marks",'Pivot Tables'!$I$14,"Name","Arjun")</f>
        <v>646</v>
      </c>
      <c r="R13" s="26"/>
    </row>
    <row r="14" spans="2:20" ht="15.75" thickBot="1" x14ac:dyDescent="0.3">
      <c r="P14" s="33"/>
      <c r="Q14" s="31"/>
      <c r="R14" s="25"/>
    </row>
    <row r="15" spans="2:20" ht="15.75" thickBot="1" x14ac:dyDescent="0.3"/>
    <row r="16" spans="2:20" ht="15.75" thickBot="1" x14ac:dyDescent="0.3">
      <c r="P16" s="27" t="s">
        <v>53</v>
      </c>
      <c r="Q16" s="28"/>
      <c r="R16" s="29"/>
    </row>
    <row r="17" spans="16:18" x14ac:dyDescent="0.25">
      <c r="P17" s="32" t="str">
        <f>'Pivot Tables'!I16</f>
        <v>Neha</v>
      </c>
      <c r="Q17" s="30">
        <f>+GETPIVOTDATA("Marks",'Pivot Tables'!$I$14,"Name","Neha")</f>
        <v>476</v>
      </c>
      <c r="R17" s="26"/>
    </row>
    <row r="18" spans="16:18" ht="15.75" thickBot="1" x14ac:dyDescent="0.3">
      <c r="P18" s="33"/>
      <c r="Q18" s="31"/>
      <c r="R18" s="25"/>
    </row>
    <row r="19" spans="16:18" ht="15.75" thickBot="1" x14ac:dyDescent="0.3"/>
    <row r="20" spans="16:18" ht="15.75" thickBot="1" x14ac:dyDescent="0.3">
      <c r="P20" s="27" t="s">
        <v>54</v>
      </c>
      <c r="Q20" s="28"/>
      <c r="R20" s="29"/>
    </row>
    <row r="21" spans="16:18" x14ac:dyDescent="0.25">
      <c r="P21" s="32" t="str">
        <f>+'Pivot Tables'!I17</f>
        <v>Anu</v>
      </c>
      <c r="Q21" s="30">
        <f>+GETPIVOTDATA("Marks",'Pivot Tables'!$I$14,"Name","Anu")</f>
        <v>430</v>
      </c>
      <c r="R21" s="26"/>
    </row>
    <row r="22" spans="16:18" ht="15.75" thickBot="1" x14ac:dyDescent="0.3">
      <c r="P22" s="33"/>
      <c r="Q22" s="31"/>
      <c r="R22" s="25"/>
    </row>
    <row r="23" spans="16:18" x14ac:dyDescent="0.25"/>
    <row r="24" spans="16:18" x14ac:dyDescent="0.25"/>
    <row r="25" spans="16:18" x14ac:dyDescent="0.25"/>
    <row r="26" spans="16:18" x14ac:dyDescent="0.25"/>
    <row r="27" spans="16:18" x14ac:dyDescent="0.25"/>
    <row r="28" spans="16:18" x14ac:dyDescent="0.25"/>
    <row r="29" spans="16:18" x14ac:dyDescent="0.25"/>
    <row r="30" spans="16:18" x14ac:dyDescent="0.25"/>
    <row r="31" spans="16:18" x14ac:dyDescent="0.25"/>
    <row r="32" spans="16:18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</sheetData>
  <mergeCells count="18">
    <mergeCell ref="J6:M6"/>
    <mergeCell ref="J7:M9"/>
    <mergeCell ref="B2:T3"/>
    <mergeCell ref="P12:R12"/>
    <mergeCell ref="P20:R20"/>
    <mergeCell ref="B7:D9"/>
    <mergeCell ref="B6:D6"/>
    <mergeCell ref="F6:H6"/>
    <mergeCell ref="F7:H9"/>
    <mergeCell ref="P21:P22"/>
    <mergeCell ref="Q21:R22"/>
    <mergeCell ref="O6:R6"/>
    <mergeCell ref="O7:R9"/>
    <mergeCell ref="P13:P14"/>
    <mergeCell ref="Q13:R14"/>
    <mergeCell ref="P16:R16"/>
    <mergeCell ref="P17:P18"/>
    <mergeCell ref="Q17:R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B3C5-494C-44C3-B55B-C4057CA52D5A}">
  <dimension ref="C1:AC38"/>
  <sheetViews>
    <sheetView showGridLines="0" topLeftCell="B1" zoomScale="97" zoomScaleNormal="235" workbookViewId="0">
      <selection activeCell="C3" sqref="C3:M4"/>
    </sheetView>
  </sheetViews>
  <sheetFormatPr defaultColWidth="0" defaultRowHeight="15" zeroHeight="1" x14ac:dyDescent="0.25"/>
  <cols>
    <col min="1" max="1" width="9.140625" hidden="1" customWidth="1"/>
    <col min="2" max="2" width="9.140625" customWidth="1"/>
    <col min="3" max="3" width="11.28515625" bestFit="1" customWidth="1"/>
    <col min="4" max="4" width="16.5703125" bestFit="1" customWidth="1"/>
    <col min="5" max="5" width="4.85546875" bestFit="1" customWidth="1"/>
    <col min="6" max="6" width="12.85546875" bestFit="1" customWidth="1"/>
    <col min="7" max="7" width="16.5703125" bestFit="1" customWidth="1"/>
    <col min="8" max="9" width="11.28515625" bestFit="1" customWidth="1"/>
    <col min="10" max="10" width="14.7109375" bestFit="1" customWidth="1"/>
    <col min="11" max="11" width="11.28515625" bestFit="1" customWidth="1"/>
    <col min="12" max="12" width="13.140625" bestFit="1" customWidth="1"/>
    <col min="13" max="13" width="26.140625" bestFit="1" customWidth="1"/>
    <col min="14" max="14" width="10" bestFit="1" customWidth="1"/>
    <col min="15" max="17" width="10" hidden="1"/>
    <col min="18" max="18" width="10.5703125" hidden="1"/>
    <col min="19" max="22" width="11.5703125" hidden="1"/>
    <col min="23" max="23" width="12.28515625" hidden="1"/>
    <col min="24" max="27" width="16.85546875" hidden="1"/>
    <col min="28" max="28" width="18" hidden="1"/>
    <col min="29" max="29" width="11.28515625" hidden="1"/>
    <col min="30" max="16384" width="9.140625" hidden="1"/>
  </cols>
  <sheetData>
    <row r="1" spans="3:13" x14ac:dyDescent="0.25"/>
    <row r="2" spans="3:13" x14ac:dyDescent="0.25"/>
    <row r="3" spans="3:13" x14ac:dyDescent="0.25">
      <c r="C3" s="34" t="s">
        <v>60</v>
      </c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3:13" x14ac:dyDescent="0.25"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3:13" x14ac:dyDescent="0.25"/>
    <row r="6" spans="3:13" s="10" customFormat="1" ht="21" customHeight="1" x14ac:dyDescent="0.25">
      <c r="C6" s="36" t="s">
        <v>44</v>
      </c>
      <c r="D6" s="36"/>
      <c r="F6" s="36" t="s">
        <v>45</v>
      </c>
      <c r="G6" s="36"/>
      <c r="I6" s="36" t="s">
        <v>46</v>
      </c>
      <c r="J6" s="36"/>
      <c r="L6" s="36" t="s">
        <v>39</v>
      </c>
      <c r="M6" s="36"/>
    </row>
    <row r="7" spans="3:13" x14ac:dyDescent="0.25">
      <c r="C7" s="7" t="s">
        <v>40</v>
      </c>
      <c r="D7" t="s">
        <v>43</v>
      </c>
      <c r="F7" s="7" t="s">
        <v>40</v>
      </c>
      <c r="G7" t="s">
        <v>43</v>
      </c>
      <c r="I7" s="7" t="s">
        <v>40</v>
      </c>
      <c r="J7" t="s">
        <v>49</v>
      </c>
      <c r="L7" s="7" t="s">
        <v>40</v>
      </c>
      <c r="M7" t="s">
        <v>55</v>
      </c>
    </row>
    <row r="8" spans="3:13" x14ac:dyDescent="0.25">
      <c r="C8" s="8" t="s">
        <v>21</v>
      </c>
      <c r="D8">
        <v>67.421052631578945</v>
      </c>
      <c r="F8" s="8" t="s">
        <v>11</v>
      </c>
      <c r="G8">
        <v>71.45</v>
      </c>
      <c r="I8" s="8" t="s">
        <v>47</v>
      </c>
      <c r="J8">
        <v>23</v>
      </c>
      <c r="L8" s="8" t="s">
        <v>59</v>
      </c>
      <c r="M8">
        <v>42</v>
      </c>
    </row>
    <row r="9" spans="3:13" x14ac:dyDescent="0.25">
      <c r="C9" s="8" t="s">
        <v>13</v>
      </c>
      <c r="D9">
        <v>61.5</v>
      </c>
      <c r="F9" s="8" t="s">
        <v>17</v>
      </c>
      <c r="G9">
        <v>66.555555555555557</v>
      </c>
      <c r="I9" s="8" t="s">
        <v>48</v>
      </c>
      <c r="J9">
        <v>77</v>
      </c>
      <c r="L9" s="8" t="s">
        <v>56</v>
      </c>
      <c r="M9">
        <v>31</v>
      </c>
    </row>
    <row r="10" spans="3:13" x14ac:dyDescent="0.25">
      <c r="C10" s="8" t="s">
        <v>10</v>
      </c>
      <c r="D10">
        <v>61.703703703703702</v>
      </c>
      <c r="F10" s="8" t="s">
        <v>14</v>
      </c>
      <c r="G10">
        <v>56.88</v>
      </c>
      <c r="I10" s="8" t="s">
        <v>41</v>
      </c>
      <c r="J10">
        <v>100</v>
      </c>
      <c r="L10" s="8" t="s">
        <v>57</v>
      </c>
      <c r="M10">
        <v>17</v>
      </c>
    </row>
    <row r="11" spans="3:13" x14ac:dyDescent="0.25">
      <c r="C11" s="8" t="s">
        <v>7</v>
      </c>
      <c r="D11">
        <v>67.178571428571431</v>
      </c>
      <c r="F11" s="8" t="s">
        <v>19</v>
      </c>
      <c r="G11">
        <v>65.368421052631575</v>
      </c>
      <c r="L11" s="8" t="s">
        <v>58</v>
      </c>
      <c r="M11">
        <v>10</v>
      </c>
    </row>
    <row r="12" spans="3:13" x14ac:dyDescent="0.25">
      <c r="C12" s="8" t="s">
        <v>41</v>
      </c>
      <c r="D12">
        <v>64.27</v>
      </c>
      <c r="F12" s="8" t="s">
        <v>8</v>
      </c>
      <c r="G12">
        <v>63.111111111111114</v>
      </c>
      <c r="L12" s="8" t="s">
        <v>41</v>
      </c>
      <c r="M12">
        <v>100</v>
      </c>
    </row>
    <row r="13" spans="3:13" s="10" customFormat="1" ht="24" customHeight="1" x14ac:dyDescent="0.25">
      <c r="F13" s="35" t="s">
        <v>41</v>
      </c>
      <c r="G13" s="10">
        <v>64.27</v>
      </c>
      <c r="I13" s="36" t="s">
        <v>61</v>
      </c>
      <c r="J13" s="36"/>
    </row>
    <row r="14" spans="3:13" x14ac:dyDescent="0.25">
      <c r="I14" s="7" t="s">
        <v>40</v>
      </c>
      <c r="J14" t="s">
        <v>42</v>
      </c>
    </row>
    <row r="15" spans="3:13" x14ac:dyDescent="0.25">
      <c r="I15" s="8" t="s">
        <v>20</v>
      </c>
      <c r="J15">
        <v>646</v>
      </c>
    </row>
    <row r="16" spans="3:13" x14ac:dyDescent="0.25">
      <c r="I16" s="8" t="s">
        <v>27</v>
      </c>
      <c r="J16">
        <v>476</v>
      </c>
    </row>
    <row r="17" spans="9:10" x14ac:dyDescent="0.25">
      <c r="I17" s="8" t="s">
        <v>12</v>
      </c>
      <c r="J17">
        <v>430</v>
      </c>
    </row>
    <row r="18" spans="9:10" x14ac:dyDescent="0.25">
      <c r="I18" s="8" t="s">
        <v>29</v>
      </c>
      <c r="J18">
        <v>403</v>
      </c>
    </row>
    <row r="19" spans="9:10" x14ac:dyDescent="0.25">
      <c r="I19" s="8" t="s">
        <v>25</v>
      </c>
      <c r="J19">
        <v>403</v>
      </c>
    </row>
    <row r="20" spans="9:10" x14ac:dyDescent="0.25">
      <c r="I20" s="8" t="s">
        <v>9</v>
      </c>
      <c r="J20">
        <v>399</v>
      </c>
    </row>
    <row r="21" spans="9:10" x14ac:dyDescent="0.25">
      <c r="I21" s="8" t="s">
        <v>33</v>
      </c>
      <c r="J21">
        <v>385</v>
      </c>
    </row>
    <row r="22" spans="9:10" x14ac:dyDescent="0.25">
      <c r="I22" s="8" t="s">
        <v>16</v>
      </c>
      <c r="J22">
        <v>374</v>
      </c>
    </row>
    <row r="23" spans="9:10" x14ac:dyDescent="0.25">
      <c r="I23" s="8" t="s">
        <v>28</v>
      </c>
      <c r="J23">
        <v>372</v>
      </c>
    </row>
    <row r="24" spans="9:10" x14ac:dyDescent="0.25">
      <c r="I24" s="8" t="s">
        <v>15</v>
      </c>
      <c r="J24">
        <v>335</v>
      </c>
    </row>
    <row r="25" spans="9:10" x14ac:dyDescent="0.25">
      <c r="I25" s="8" t="s">
        <v>24</v>
      </c>
      <c r="J25">
        <v>321</v>
      </c>
    </row>
    <row r="26" spans="9:10" x14ac:dyDescent="0.25">
      <c r="I26" s="8" t="s">
        <v>23</v>
      </c>
      <c r="J26">
        <v>284</v>
      </c>
    </row>
    <row r="27" spans="9:10" x14ac:dyDescent="0.25">
      <c r="I27" s="8" t="s">
        <v>26</v>
      </c>
      <c r="J27">
        <v>282</v>
      </c>
    </row>
    <row r="28" spans="9:10" x14ac:dyDescent="0.25">
      <c r="I28" s="8" t="s">
        <v>6</v>
      </c>
      <c r="J28">
        <v>280</v>
      </c>
    </row>
    <row r="29" spans="9:10" x14ac:dyDescent="0.25">
      <c r="I29" s="8" t="s">
        <v>32</v>
      </c>
      <c r="J29">
        <v>261</v>
      </c>
    </row>
    <row r="30" spans="9:10" x14ac:dyDescent="0.25">
      <c r="I30" s="8" t="s">
        <v>34</v>
      </c>
      <c r="J30">
        <v>189</v>
      </c>
    </row>
    <row r="31" spans="9:10" x14ac:dyDescent="0.25">
      <c r="I31" s="8" t="s">
        <v>18</v>
      </c>
      <c r="J31">
        <v>183</v>
      </c>
    </row>
    <row r="32" spans="9:10" x14ac:dyDescent="0.25">
      <c r="I32" s="8" t="s">
        <v>31</v>
      </c>
      <c r="J32">
        <v>176</v>
      </c>
    </row>
    <row r="33" spans="9:10" x14ac:dyDescent="0.25">
      <c r="I33" s="8" t="s">
        <v>30</v>
      </c>
      <c r="J33">
        <v>143</v>
      </c>
    </row>
    <row r="34" spans="9:10" x14ac:dyDescent="0.25">
      <c r="I34" s="8" t="s">
        <v>22</v>
      </c>
      <c r="J34">
        <v>85</v>
      </c>
    </row>
    <row r="35" spans="9:10" x14ac:dyDescent="0.25">
      <c r="I35" s="8" t="s">
        <v>41</v>
      </c>
      <c r="J35">
        <v>6427</v>
      </c>
    </row>
    <row r="36" spans="9:10" x14ac:dyDescent="0.25"/>
    <row r="37" spans="9:10" x14ac:dyDescent="0.25"/>
    <row r="38" spans="9:10" x14ac:dyDescent="0.25"/>
  </sheetData>
  <mergeCells count="6">
    <mergeCell ref="I13:J13"/>
    <mergeCell ref="C6:D6"/>
    <mergeCell ref="F6:G6"/>
    <mergeCell ref="I6:J6"/>
    <mergeCell ref="L6:M6"/>
    <mergeCell ref="C3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showGridLines="0" zoomScale="113" workbookViewId="0">
      <selection activeCell="J9" sqref="J9"/>
    </sheetView>
  </sheetViews>
  <sheetFormatPr defaultRowHeight="15" x14ac:dyDescent="0.25"/>
  <cols>
    <col min="1" max="1" width="10.85546875" bestFit="1" customWidth="1"/>
    <col min="2" max="2" width="8.28515625" bestFit="1" customWidth="1"/>
    <col min="3" max="3" width="7" bestFit="1" customWidth="1"/>
    <col min="4" max="4" width="12.85546875" bestFit="1" customWidth="1"/>
    <col min="5" max="5" width="6.28515625" bestFit="1" customWidth="1"/>
    <col min="6" max="6" width="11.28515625" bestFit="1" customWidth="1"/>
    <col min="8" max="8" width="17.85546875" bestFit="1" customWidth="1"/>
    <col min="10" max="10" width="24" bestFit="1" customWidth="1"/>
  </cols>
  <sheetData>
    <row r="1" spans="1:11" ht="15.75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38</v>
      </c>
      <c r="H1" s="11" t="s">
        <v>39</v>
      </c>
    </row>
    <row r="2" spans="1:11" ht="15.75" thickBot="1" x14ac:dyDescent="0.3">
      <c r="A2" s="12">
        <v>1001</v>
      </c>
      <c r="B2" s="12" t="s">
        <v>6</v>
      </c>
      <c r="C2" s="12" t="s">
        <v>7</v>
      </c>
      <c r="D2" s="12" t="s">
        <v>8</v>
      </c>
      <c r="E2" s="12">
        <v>73</v>
      </c>
      <c r="F2" s="12">
        <v>93</v>
      </c>
      <c r="G2" s="12" t="str">
        <f>IF(E2&gt;=45,"Pass","Fail")</f>
        <v>Pass</v>
      </c>
      <c r="H2" s="12" t="str">
        <f>IF(E2&gt;=90,"Excellent",IF(E2&gt;=80,"Good",IF(E2&gt;=60,"Average","Poor")))</f>
        <v>Average</v>
      </c>
      <c r="J2" s="14" t="s">
        <v>37</v>
      </c>
      <c r="K2" s="15"/>
    </row>
    <row r="3" spans="1:11" x14ac:dyDescent="0.25">
      <c r="A3" s="12">
        <v>1002</v>
      </c>
      <c r="B3" s="12" t="s">
        <v>9</v>
      </c>
      <c r="C3" s="12" t="s">
        <v>10</v>
      </c>
      <c r="D3" s="12" t="s">
        <v>11</v>
      </c>
      <c r="E3" s="12">
        <v>79</v>
      </c>
      <c r="F3" s="12">
        <v>72</v>
      </c>
      <c r="G3" s="12" t="str">
        <f t="shared" ref="G3:G66" si="0">IF(E3&gt;=45,"Pass","Fail")</f>
        <v>Pass</v>
      </c>
      <c r="H3" s="12" t="str">
        <f t="shared" ref="H3:H66" si="1">IF(E3&gt;=90,"Excellent",IF(E3&gt;=80,"Good",IF(E3&gt;=60,"Average","Poor")))</f>
        <v>Average</v>
      </c>
      <c r="J3" s="5" t="s">
        <v>35</v>
      </c>
      <c r="K3" s="6">
        <f>COUNT(A2:A101)</f>
        <v>100</v>
      </c>
    </row>
    <row r="4" spans="1:11" x14ac:dyDescent="0.25">
      <c r="A4" s="12">
        <v>1003</v>
      </c>
      <c r="B4" s="12" t="s">
        <v>12</v>
      </c>
      <c r="C4" s="12" t="s">
        <v>13</v>
      </c>
      <c r="D4" s="12" t="s">
        <v>14</v>
      </c>
      <c r="E4" s="12">
        <v>30</v>
      </c>
      <c r="F4" s="12">
        <v>74</v>
      </c>
      <c r="G4" s="12" t="str">
        <f t="shared" si="0"/>
        <v>Fail</v>
      </c>
      <c r="H4" s="12" t="str">
        <f t="shared" si="1"/>
        <v>Poor</v>
      </c>
      <c r="J4" s="1" t="s">
        <v>50</v>
      </c>
      <c r="K4" s="2">
        <f>AVERAGE(E2:E101)</f>
        <v>64.27</v>
      </c>
    </row>
    <row r="5" spans="1:11" x14ac:dyDescent="0.25">
      <c r="A5" s="12">
        <v>1004</v>
      </c>
      <c r="B5" s="12" t="s">
        <v>15</v>
      </c>
      <c r="C5" s="12" t="s">
        <v>10</v>
      </c>
      <c r="D5" s="12" t="s">
        <v>8</v>
      </c>
      <c r="E5" s="12">
        <v>36</v>
      </c>
      <c r="F5" s="12">
        <v>65</v>
      </c>
      <c r="G5" s="12" t="str">
        <f t="shared" si="0"/>
        <v>Fail</v>
      </c>
      <c r="H5" s="12" t="str">
        <f t="shared" si="1"/>
        <v>Poor</v>
      </c>
      <c r="J5" s="1" t="s">
        <v>51</v>
      </c>
      <c r="K5" s="2">
        <f>MAX(E2:E101)</f>
        <v>100</v>
      </c>
    </row>
    <row r="6" spans="1:11" ht="15.75" thickBot="1" x14ac:dyDescent="0.3">
      <c r="A6" s="12">
        <v>1005</v>
      </c>
      <c r="B6" s="12" t="s">
        <v>16</v>
      </c>
      <c r="C6" s="12" t="s">
        <v>7</v>
      </c>
      <c r="D6" s="12" t="s">
        <v>17</v>
      </c>
      <c r="E6" s="12">
        <v>98</v>
      </c>
      <c r="F6" s="12">
        <v>64</v>
      </c>
      <c r="G6" s="12" t="str">
        <f t="shared" si="0"/>
        <v>Pass</v>
      </c>
      <c r="H6" s="12" t="str">
        <f t="shared" si="1"/>
        <v>Excellent</v>
      </c>
      <c r="J6" s="3" t="s">
        <v>36</v>
      </c>
      <c r="K6" s="4">
        <f>MIN(E2:E101)</f>
        <v>30</v>
      </c>
    </row>
    <row r="7" spans="1:11" x14ac:dyDescent="0.25">
      <c r="A7" s="12">
        <v>1006</v>
      </c>
      <c r="B7" s="12" t="s">
        <v>18</v>
      </c>
      <c r="C7" s="12" t="s">
        <v>7</v>
      </c>
      <c r="D7" s="12" t="s">
        <v>19</v>
      </c>
      <c r="E7" s="12">
        <v>64</v>
      </c>
      <c r="F7" s="12">
        <v>72</v>
      </c>
      <c r="G7" s="12" t="str">
        <f t="shared" si="0"/>
        <v>Pass</v>
      </c>
      <c r="H7" s="12" t="str">
        <f t="shared" si="1"/>
        <v>Average</v>
      </c>
    </row>
    <row r="8" spans="1:11" x14ac:dyDescent="0.25">
      <c r="A8" s="12">
        <v>1007</v>
      </c>
      <c r="B8" s="12" t="s">
        <v>20</v>
      </c>
      <c r="C8" s="12" t="s">
        <v>21</v>
      </c>
      <c r="D8" s="12" t="s">
        <v>14</v>
      </c>
      <c r="E8" s="12">
        <v>100</v>
      </c>
      <c r="F8" s="12">
        <v>71</v>
      </c>
      <c r="G8" s="12" t="str">
        <f t="shared" si="0"/>
        <v>Pass</v>
      </c>
      <c r="H8" s="12" t="str">
        <f t="shared" si="1"/>
        <v>Excellent</v>
      </c>
    </row>
    <row r="9" spans="1:11" x14ac:dyDescent="0.25">
      <c r="A9" s="12">
        <v>1008</v>
      </c>
      <c r="B9" s="12" t="s">
        <v>22</v>
      </c>
      <c r="C9" s="12" t="s">
        <v>7</v>
      </c>
      <c r="D9" s="12" t="s">
        <v>11</v>
      </c>
      <c r="E9" s="12">
        <v>54</v>
      </c>
      <c r="F9" s="12">
        <v>86</v>
      </c>
      <c r="G9" s="12" t="str">
        <f t="shared" si="0"/>
        <v>Pass</v>
      </c>
      <c r="H9" s="12" t="str">
        <f t="shared" si="1"/>
        <v>Poor</v>
      </c>
    </row>
    <row r="10" spans="1:11" x14ac:dyDescent="0.25">
      <c r="A10" s="12">
        <v>1009</v>
      </c>
      <c r="B10" s="12" t="s">
        <v>23</v>
      </c>
      <c r="C10" s="12" t="s">
        <v>13</v>
      </c>
      <c r="D10" s="12" t="s">
        <v>19</v>
      </c>
      <c r="E10" s="12">
        <v>63</v>
      </c>
      <c r="F10" s="12">
        <v>94</v>
      </c>
      <c r="G10" s="12" t="str">
        <f t="shared" si="0"/>
        <v>Pass</v>
      </c>
      <c r="H10" s="12" t="str">
        <f t="shared" si="1"/>
        <v>Average</v>
      </c>
    </row>
    <row r="11" spans="1:11" x14ac:dyDescent="0.25">
      <c r="A11" s="12">
        <v>1010</v>
      </c>
      <c r="B11" s="12" t="s">
        <v>18</v>
      </c>
      <c r="C11" s="12" t="s">
        <v>13</v>
      </c>
      <c r="D11" s="12" t="s">
        <v>19</v>
      </c>
      <c r="E11" s="12">
        <v>68</v>
      </c>
      <c r="F11" s="12">
        <v>60</v>
      </c>
      <c r="G11" s="12" t="str">
        <f t="shared" si="0"/>
        <v>Pass</v>
      </c>
      <c r="H11" s="12" t="str">
        <f t="shared" si="1"/>
        <v>Average</v>
      </c>
    </row>
    <row r="12" spans="1:11" x14ac:dyDescent="0.25">
      <c r="A12" s="12">
        <v>1011</v>
      </c>
      <c r="B12" s="12" t="s">
        <v>16</v>
      </c>
      <c r="C12" s="12" t="s">
        <v>7</v>
      </c>
      <c r="D12" s="12" t="s">
        <v>19</v>
      </c>
      <c r="E12" s="12">
        <v>100</v>
      </c>
      <c r="F12" s="12">
        <v>95</v>
      </c>
      <c r="G12" s="12" t="str">
        <f t="shared" si="0"/>
        <v>Pass</v>
      </c>
      <c r="H12" s="12" t="str">
        <f t="shared" si="1"/>
        <v>Excellent</v>
      </c>
    </row>
    <row r="13" spans="1:11" x14ac:dyDescent="0.25">
      <c r="A13" s="12">
        <v>1012</v>
      </c>
      <c r="B13" s="12" t="s">
        <v>12</v>
      </c>
      <c r="C13" s="12" t="s">
        <v>10</v>
      </c>
      <c r="D13" s="12" t="s">
        <v>11</v>
      </c>
      <c r="E13" s="12">
        <v>45</v>
      </c>
      <c r="F13" s="12">
        <v>96</v>
      </c>
      <c r="G13" s="12" t="str">
        <f t="shared" si="0"/>
        <v>Pass</v>
      </c>
      <c r="H13" s="12" t="str">
        <f t="shared" si="1"/>
        <v>Poor</v>
      </c>
    </row>
    <row r="14" spans="1:11" x14ac:dyDescent="0.25">
      <c r="A14" s="12">
        <v>1013</v>
      </c>
      <c r="B14" s="12" t="s">
        <v>24</v>
      </c>
      <c r="C14" s="12" t="s">
        <v>13</v>
      </c>
      <c r="D14" s="12" t="s">
        <v>17</v>
      </c>
      <c r="E14" s="12">
        <v>55</v>
      </c>
      <c r="F14" s="12">
        <v>75</v>
      </c>
      <c r="G14" s="12" t="str">
        <f t="shared" si="0"/>
        <v>Pass</v>
      </c>
      <c r="H14" s="12" t="str">
        <f t="shared" si="1"/>
        <v>Poor</v>
      </c>
    </row>
    <row r="15" spans="1:11" x14ac:dyDescent="0.25">
      <c r="A15" s="12">
        <v>1014</v>
      </c>
      <c r="B15" s="12" t="s">
        <v>23</v>
      </c>
      <c r="C15" s="12" t="s">
        <v>7</v>
      </c>
      <c r="D15" s="12" t="s">
        <v>8</v>
      </c>
      <c r="E15" s="12">
        <v>35</v>
      </c>
      <c r="F15" s="12">
        <v>100</v>
      </c>
      <c r="G15" s="12" t="str">
        <f t="shared" si="0"/>
        <v>Fail</v>
      </c>
      <c r="H15" s="12" t="str">
        <f t="shared" si="1"/>
        <v>Poor</v>
      </c>
    </row>
    <row r="16" spans="1:11" x14ac:dyDescent="0.25">
      <c r="A16" s="12">
        <v>1015</v>
      </c>
      <c r="B16" s="12" t="s">
        <v>16</v>
      </c>
      <c r="C16" s="12" t="s">
        <v>7</v>
      </c>
      <c r="D16" s="12" t="s">
        <v>11</v>
      </c>
      <c r="E16" s="12">
        <v>75</v>
      </c>
      <c r="F16" s="12">
        <v>86</v>
      </c>
      <c r="G16" s="12" t="str">
        <f t="shared" si="0"/>
        <v>Pass</v>
      </c>
      <c r="H16" s="12" t="str">
        <f t="shared" si="1"/>
        <v>Average</v>
      </c>
    </row>
    <row r="17" spans="1:8" x14ac:dyDescent="0.25">
      <c r="A17" s="12">
        <v>1016</v>
      </c>
      <c r="B17" s="12" t="s">
        <v>6</v>
      </c>
      <c r="C17" s="12" t="s">
        <v>7</v>
      </c>
      <c r="D17" s="12" t="s">
        <v>11</v>
      </c>
      <c r="E17" s="12">
        <v>83</v>
      </c>
      <c r="F17" s="12">
        <v>60</v>
      </c>
      <c r="G17" s="12" t="str">
        <f t="shared" si="0"/>
        <v>Pass</v>
      </c>
      <c r="H17" s="12" t="str">
        <f t="shared" si="1"/>
        <v>Good</v>
      </c>
    </row>
    <row r="18" spans="1:8" x14ac:dyDescent="0.25">
      <c r="A18" s="12">
        <v>1017</v>
      </c>
      <c r="B18" s="12" t="s">
        <v>25</v>
      </c>
      <c r="C18" s="12" t="s">
        <v>13</v>
      </c>
      <c r="D18" s="12" t="s">
        <v>11</v>
      </c>
      <c r="E18" s="12">
        <v>41</v>
      </c>
      <c r="F18" s="12">
        <v>80</v>
      </c>
      <c r="G18" s="12" t="str">
        <f t="shared" si="0"/>
        <v>Fail</v>
      </c>
      <c r="H18" s="12" t="str">
        <f t="shared" si="1"/>
        <v>Poor</v>
      </c>
    </row>
    <row r="19" spans="1:8" x14ac:dyDescent="0.25">
      <c r="A19" s="12">
        <v>1018</v>
      </c>
      <c r="B19" s="12" t="s">
        <v>9</v>
      </c>
      <c r="C19" s="12" t="s">
        <v>7</v>
      </c>
      <c r="D19" s="12" t="s">
        <v>17</v>
      </c>
      <c r="E19" s="12">
        <v>70</v>
      </c>
      <c r="F19" s="12">
        <v>71</v>
      </c>
      <c r="G19" s="12" t="str">
        <f t="shared" si="0"/>
        <v>Pass</v>
      </c>
      <c r="H19" s="12" t="str">
        <f t="shared" si="1"/>
        <v>Average</v>
      </c>
    </row>
    <row r="20" spans="1:8" x14ac:dyDescent="0.25">
      <c r="A20" s="12">
        <v>1019</v>
      </c>
      <c r="B20" s="12" t="s">
        <v>25</v>
      </c>
      <c r="C20" s="12" t="s">
        <v>21</v>
      </c>
      <c r="D20" s="12" t="s">
        <v>17</v>
      </c>
      <c r="E20" s="12">
        <v>83</v>
      </c>
      <c r="F20" s="12">
        <v>99</v>
      </c>
      <c r="G20" s="12" t="str">
        <f t="shared" si="0"/>
        <v>Pass</v>
      </c>
      <c r="H20" s="12" t="str">
        <f t="shared" si="1"/>
        <v>Good</v>
      </c>
    </row>
    <row r="21" spans="1:8" x14ac:dyDescent="0.25">
      <c r="A21" s="12">
        <v>1020</v>
      </c>
      <c r="B21" s="12" t="s">
        <v>15</v>
      </c>
      <c r="C21" s="12" t="s">
        <v>10</v>
      </c>
      <c r="D21" s="12" t="s">
        <v>14</v>
      </c>
      <c r="E21" s="12">
        <v>40</v>
      </c>
      <c r="F21" s="12">
        <v>63</v>
      </c>
      <c r="G21" s="12" t="str">
        <f t="shared" si="0"/>
        <v>Fail</v>
      </c>
      <c r="H21" s="12" t="str">
        <f t="shared" si="1"/>
        <v>Poor</v>
      </c>
    </row>
    <row r="22" spans="1:8" x14ac:dyDescent="0.25">
      <c r="A22" s="12">
        <v>1021</v>
      </c>
      <c r="B22" s="12" t="s">
        <v>20</v>
      </c>
      <c r="C22" s="12" t="s">
        <v>21</v>
      </c>
      <c r="D22" s="12" t="s">
        <v>17</v>
      </c>
      <c r="E22" s="12">
        <v>96</v>
      </c>
      <c r="F22" s="12">
        <v>85</v>
      </c>
      <c r="G22" s="12" t="str">
        <f t="shared" si="0"/>
        <v>Pass</v>
      </c>
      <c r="H22" s="12" t="str">
        <f t="shared" si="1"/>
        <v>Excellent</v>
      </c>
    </row>
    <row r="23" spans="1:8" x14ac:dyDescent="0.25">
      <c r="A23" s="12">
        <v>1022</v>
      </c>
      <c r="B23" s="12" t="s">
        <v>12</v>
      </c>
      <c r="C23" s="12" t="s">
        <v>7</v>
      </c>
      <c r="D23" s="12" t="s">
        <v>19</v>
      </c>
      <c r="E23" s="12">
        <v>89</v>
      </c>
      <c r="F23" s="12">
        <v>83</v>
      </c>
      <c r="G23" s="12" t="str">
        <f t="shared" si="0"/>
        <v>Pass</v>
      </c>
      <c r="H23" s="12" t="str">
        <f t="shared" si="1"/>
        <v>Good</v>
      </c>
    </row>
    <row r="24" spans="1:8" x14ac:dyDescent="0.25">
      <c r="A24" s="12">
        <v>1023</v>
      </c>
      <c r="B24" s="12" t="s">
        <v>26</v>
      </c>
      <c r="C24" s="12" t="s">
        <v>7</v>
      </c>
      <c r="D24" s="12" t="s">
        <v>11</v>
      </c>
      <c r="E24" s="12">
        <v>68</v>
      </c>
      <c r="F24" s="12">
        <v>94</v>
      </c>
      <c r="G24" s="12" t="str">
        <f t="shared" si="0"/>
        <v>Pass</v>
      </c>
      <c r="H24" s="12" t="str">
        <f t="shared" si="1"/>
        <v>Average</v>
      </c>
    </row>
    <row r="25" spans="1:8" x14ac:dyDescent="0.25">
      <c r="A25" s="12">
        <v>1024</v>
      </c>
      <c r="B25" s="12" t="s">
        <v>20</v>
      </c>
      <c r="C25" s="12" t="s">
        <v>7</v>
      </c>
      <c r="D25" s="12" t="s">
        <v>8</v>
      </c>
      <c r="E25" s="12">
        <v>50</v>
      </c>
      <c r="F25" s="12">
        <v>97</v>
      </c>
      <c r="G25" s="12" t="str">
        <f t="shared" si="0"/>
        <v>Pass</v>
      </c>
      <c r="H25" s="12" t="str">
        <f t="shared" si="1"/>
        <v>Poor</v>
      </c>
    </row>
    <row r="26" spans="1:8" x14ac:dyDescent="0.25">
      <c r="A26" s="12">
        <v>1025</v>
      </c>
      <c r="B26" s="12" t="s">
        <v>20</v>
      </c>
      <c r="C26" s="12" t="s">
        <v>10</v>
      </c>
      <c r="D26" s="12" t="s">
        <v>14</v>
      </c>
      <c r="E26" s="12">
        <v>98</v>
      </c>
      <c r="F26" s="12">
        <v>81</v>
      </c>
      <c r="G26" s="12" t="str">
        <f t="shared" si="0"/>
        <v>Pass</v>
      </c>
      <c r="H26" s="12" t="str">
        <f t="shared" si="1"/>
        <v>Excellent</v>
      </c>
    </row>
    <row r="27" spans="1:8" x14ac:dyDescent="0.25">
      <c r="A27" s="12">
        <v>1026</v>
      </c>
      <c r="B27" s="12" t="s">
        <v>26</v>
      </c>
      <c r="C27" s="12" t="s">
        <v>10</v>
      </c>
      <c r="D27" s="12" t="s">
        <v>17</v>
      </c>
      <c r="E27" s="12">
        <v>35</v>
      </c>
      <c r="F27" s="12">
        <v>96</v>
      </c>
      <c r="G27" s="12" t="str">
        <f t="shared" si="0"/>
        <v>Fail</v>
      </c>
      <c r="H27" s="12" t="str">
        <f t="shared" si="1"/>
        <v>Poor</v>
      </c>
    </row>
    <row r="28" spans="1:8" x14ac:dyDescent="0.25">
      <c r="A28" s="12">
        <v>1027</v>
      </c>
      <c r="B28" s="12" t="s">
        <v>27</v>
      </c>
      <c r="C28" s="12" t="s">
        <v>13</v>
      </c>
      <c r="D28" s="12" t="s">
        <v>14</v>
      </c>
      <c r="E28" s="12">
        <v>90</v>
      </c>
      <c r="F28" s="12">
        <v>87</v>
      </c>
      <c r="G28" s="12" t="str">
        <f t="shared" si="0"/>
        <v>Pass</v>
      </c>
      <c r="H28" s="12" t="str">
        <f t="shared" si="1"/>
        <v>Excellent</v>
      </c>
    </row>
    <row r="29" spans="1:8" x14ac:dyDescent="0.25">
      <c r="A29" s="12">
        <v>1028</v>
      </c>
      <c r="B29" s="12" t="s">
        <v>28</v>
      </c>
      <c r="C29" s="12" t="s">
        <v>7</v>
      </c>
      <c r="D29" s="12" t="s">
        <v>8</v>
      </c>
      <c r="E29" s="12">
        <v>61</v>
      </c>
      <c r="F29" s="12">
        <v>68</v>
      </c>
      <c r="G29" s="12" t="str">
        <f t="shared" si="0"/>
        <v>Pass</v>
      </c>
      <c r="H29" s="12" t="str">
        <f t="shared" si="1"/>
        <v>Average</v>
      </c>
    </row>
    <row r="30" spans="1:8" x14ac:dyDescent="0.25">
      <c r="A30" s="12">
        <v>1029</v>
      </c>
      <c r="B30" s="12" t="s">
        <v>12</v>
      </c>
      <c r="C30" s="12" t="s">
        <v>21</v>
      </c>
      <c r="D30" s="12" t="s">
        <v>17</v>
      </c>
      <c r="E30" s="12">
        <v>72</v>
      </c>
      <c r="F30" s="12">
        <v>71</v>
      </c>
      <c r="G30" s="12" t="str">
        <f t="shared" si="0"/>
        <v>Pass</v>
      </c>
      <c r="H30" s="12" t="str">
        <f t="shared" si="1"/>
        <v>Average</v>
      </c>
    </row>
    <row r="31" spans="1:8" x14ac:dyDescent="0.25">
      <c r="A31" s="12">
        <v>1030</v>
      </c>
      <c r="B31" s="12" t="s">
        <v>29</v>
      </c>
      <c r="C31" s="12" t="s">
        <v>10</v>
      </c>
      <c r="D31" s="12" t="s">
        <v>8</v>
      </c>
      <c r="E31" s="12">
        <v>95</v>
      </c>
      <c r="F31" s="12">
        <v>64</v>
      </c>
      <c r="G31" s="12" t="str">
        <f t="shared" si="0"/>
        <v>Pass</v>
      </c>
      <c r="H31" s="12" t="str">
        <f t="shared" si="1"/>
        <v>Excellent</v>
      </c>
    </row>
    <row r="32" spans="1:8" x14ac:dyDescent="0.25">
      <c r="A32" s="12">
        <v>1031</v>
      </c>
      <c r="B32" s="12" t="s">
        <v>29</v>
      </c>
      <c r="C32" s="12" t="s">
        <v>13</v>
      </c>
      <c r="D32" s="12" t="s">
        <v>11</v>
      </c>
      <c r="E32" s="12">
        <v>74</v>
      </c>
      <c r="F32" s="12">
        <v>66</v>
      </c>
      <c r="G32" s="12" t="str">
        <f t="shared" si="0"/>
        <v>Pass</v>
      </c>
      <c r="H32" s="12" t="str">
        <f t="shared" si="1"/>
        <v>Average</v>
      </c>
    </row>
    <row r="33" spans="1:8" x14ac:dyDescent="0.25">
      <c r="A33" s="12">
        <v>1032</v>
      </c>
      <c r="B33" s="12" t="s">
        <v>25</v>
      </c>
      <c r="C33" s="12" t="s">
        <v>7</v>
      </c>
      <c r="D33" s="12" t="s">
        <v>17</v>
      </c>
      <c r="E33" s="12">
        <v>63</v>
      </c>
      <c r="F33" s="12">
        <v>88</v>
      </c>
      <c r="G33" s="12" t="str">
        <f t="shared" si="0"/>
        <v>Pass</v>
      </c>
      <c r="H33" s="12" t="str">
        <f t="shared" si="1"/>
        <v>Average</v>
      </c>
    </row>
    <row r="34" spans="1:8" x14ac:dyDescent="0.25">
      <c r="A34" s="12">
        <v>1033</v>
      </c>
      <c r="B34" s="12" t="s">
        <v>24</v>
      </c>
      <c r="C34" s="12" t="s">
        <v>13</v>
      </c>
      <c r="D34" s="12" t="s">
        <v>14</v>
      </c>
      <c r="E34" s="12">
        <v>55</v>
      </c>
      <c r="F34" s="12">
        <v>89</v>
      </c>
      <c r="G34" s="12" t="str">
        <f t="shared" si="0"/>
        <v>Pass</v>
      </c>
      <c r="H34" s="12" t="str">
        <f t="shared" si="1"/>
        <v>Poor</v>
      </c>
    </row>
    <row r="35" spans="1:8" x14ac:dyDescent="0.25">
      <c r="A35" s="12">
        <v>1034</v>
      </c>
      <c r="B35" s="12" t="s">
        <v>30</v>
      </c>
      <c r="C35" s="12" t="s">
        <v>13</v>
      </c>
      <c r="D35" s="12" t="s">
        <v>14</v>
      </c>
      <c r="E35" s="12">
        <v>50</v>
      </c>
      <c r="F35" s="12">
        <v>75</v>
      </c>
      <c r="G35" s="12" t="str">
        <f t="shared" si="0"/>
        <v>Pass</v>
      </c>
      <c r="H35" s="12" t="str">
        <f t="shared" si="1"/>
        <v>Poor</v>
      </c>
    </row>
    <row r="36" spans="1:8" x14ac:dyDescent="0.25">
      <c r="A36" s="12">
        <v>1035</v>
      </c>
      <c r="B36" s="12" t="s">
        <v>31</v>
      </c>
      <c r="C36" s="12" t="s">
        <v>21</v>
      </c>
      <c r="D36" s="12" t="s">
        <v>11</v>
      </c>
      <c r="E36" s="12">
        <v>97</v>
      </c>
      <c r="F36" s="12">
        <v>86</v>
      </c>
      <c r="G36" s="12" t="str">
        <f t="shared" si="0"/>
        <v>Pass</v>
      </c>
      <c r="H36" s="12" t="str">
        <f t="shared" si="1"/>
        <v>Excellent</v>
      </c>
    </row>
    <row r="37" spans="1:8" x14ac:dyDescent="0.25">
      <c r="A37" s="12">
        <v>1036</v>
      </c>
      <c r="B37" s="12" t="s">
        <v>29</v>
      </c>
      <c r="C37" s="12" t="s">
        <v>10</v>
      </c>
      <c r="D37" s="12" t="s">
        <v>19</v>
      </c>
      <c r="E37" s="12">
        <v>93</v>
      </c>
      <c r="F37" s="12">
        <v>82</v>
      </c>
      <c r="G37" s="12" t="str">
        <f t="shared" si="0"/>
        <v>Pass</v>
      </c>
      <c r="H37" s="12" t="str">
        <f t="shared" si="1"/>
        <v>Excellent</v>
      </c>
    </row>
    <row r="38" spans="1:8" x14ac:dyDescent="0.25">
      <c r="A38" s="12">
        <v>1037</v>
      </c>
      <c r="B38" s="12" t="s">
        <v>28</v>
      </c>
      <c r="C38" s="12" t="s">
        <v>7</v>
      </c>
      <c r="D38" s="12" t="s">
        <v>8</v>
      </c>
      <c r="E38" s="12">
        <v>36</v>
      </c>
      <c r="F38" s="12">
        <v>87</v>
      </c>
      <c r="G38" s="12" t="str">
        <f t="shared" si="0"/>
        <v>Fail</v>
      </c>
      <c r="H38" s="12" t="str">
        <f t="shared" si="1"/>
        <v>Poor</v>
      </c>
    </row>
    <row r="39" spans="1:8" x14ac:dyDescent="0.25">
      <c r="A39" s="12">
        <v>1038</v>
      </c>
      <c r="B39" s="12" t="s">
        <v>32</v>
      </c>
      <c r="C39" s="12" t="s">
        <v>10</v>
      </c>
      <c r="D39" s="12" t="s">
        <v>19</v>
      </c>
      <c r="E39" s="12">
        <v>74</v>
      </c>
      <c r="F39" s="12">
        <v>85</v>
      </c>
      <c r="G39" s="12" t="str">
        <f t="shared" si="0"/>
        <v>Pass</v>
      </c>
      <c r="H39" s="12" t="str">
        <f t="shared" si="1"/>
        <v>Average</v>
      </c>
    </row>
    <row r="40" spans="1:8" x14ac:dyDescent="0.25">
      <c r="A40" s="12">
        <v>1039</v>
      </c>
      <c r="B40" s="12" t="s">
        <v>20</v>
      </c>
      <c r="C40" s="12" t="s">
        <v>7</v>
      </c>
      <c r="D40" s="12" t="s">
        <v>14</v>
      </c>
      <c r="E40" s="12">
        <v>60</v>
      </c>
      <c r="F40" s="12">
        <v>70</v>
      </c>
      <c r="G40" s="12" t="str">
        <f t="shared" si="0"/>
        <v>Pass</v>
      </c>
      <c r="H40" s="12" t="str">
        <f t="shared" si="1"/>
        <v>Average</v>
      </c>
    </row>
    <row r="41" spans="1:8" x14ac:dyDescent="0.25">
      <c r="A41" s="12">
        <v>1040</v>
      </c>
      <c r="B41" s="12" t="s">
        <v>33</v>
      </c>
      <c r="C41" s="12" t="s">
        <v>13</v>
      </c>
      <c r="D41" s="12" t="s">
        <v>19</v>
      </c>
      <c r="E41" s="12">
        <v>66</v>
      </c>
      <c r="F41" s="12">
        <v>61</v>
      </c>
      <c r="G41" s="12" t="str">
        <f t="shared" si="0"/>
        <v>Pass</v>
      </c>
      <c r="H41" s="12" t="str">
        <f t="shared" si="1"/>
        <v>Average</v>
      </c>
    </row>
    <row r="42" spans="1:8" x14ac:dyDescent="0.25">
      <c r="A42" s="12">
        <v>1041</v>
      </c>
      <c r="B42" s="12" t="s">
        <v>28</v>
      </c>
      <c r="C42" s="12" t="s">
        <v>10</v>
      </c>
      <c r="D42" s="12" t="s">
        <v>14</v>
      </c>
      <c r="E42" s="12">
        <v>36</v>
      </c>
      <c r="F42" s="12">
        <v>76</v>
      </c>
      <c r="G42" s="12" t="str">
        <f t="shared" si="0"/>
        <v>Fail</v>
      </c>
      <c r="H42" s="12" t="str">
        <f t="shared" si="1"/>
        <v>Poor</v>
      </c>
    </row>
    <row r="43" spans="1:8" x14ac:dyDescent="0.25">
      <c r="A43" s="12">
        <v>1042</v>
      </c>
      <c r="B43" s="12" t="s">
        <v>27</v>
      </c>
      <c r="C43" s="12" t="s">
        <v>13</v>
      </c>
      <c r="D43" s="12" t="s">
        <v>19</v>
      </c>
      <c r="E43" s="12">
        <v>31</v>
      </c>
      <c r="F43" s="12">
        <v>67</v>
      </c>
      <c r="G43" s="12" t="str">
        <f t="shared" si="0"/>
        <v>Fail</v>
      </c>
      <c r="H43" s="12" t="str">
        <f t="shared" si="1"/>
        <v>Poor</v>
      </c>
    </row>
    <row r="44" spans="1:8" x14ac:dyDescent="0.25">
      <c r="A44" s="12">
        <v>1043</v>
      </c>
      <c r="B44" s="12" t="s">
        <v>31</v>
      </c>
      <c r="C44" s="12" t="s">
        <v>13</v>
      </c>
      <c r="D44" s="12" t="s">
        <v>19</v>
      </c>
      <c r="E44" s="12">
        <v>79</v>
      </c>
      <c r="F44" s="12">
        <v>87</v>
      </c>
      <c r="G44" s="12" t="str">
        <f t="shared" si="0"/>
        <v>Pass</v>
      </c>
      <c r="H44" s="12" t="str">
        <f t="shared" si="1"/>
        <v>Average</v>
      </c>
    </row>
    <row r="45" spans="1:8" x14ac:dyDescent="0.25">
      <c r="A45" s="12">
        <v>1044</v>
      </c>
      <c r="B45" s="12" t="s">
        <v>26</v>
      </c>
      <c r="C45" s="12" t="s">
        <v>10</v>
      </c>
      <c r="D45" s="12" t="s">
        <v>11</v>
      </c>
      <c r="E45" s="12">
        <v>69</v>
      </c>
      <c r="F45" s="12">
        <v>93</v>
      </c>
      <c r="G45" s="12" t="str">
        <f t="shared" si="0"/>
        <v>Pass</v>
      </c>
      <c r="H45" s="12" t="str">
        <f t="shared" si="1"/>
        <v>Average</v>
      </c>
    </row>
    <row r="46" spans="1:8" x14ac:dyDescent="0.25">
      <c r="A46" s="12">
        <v>1045</v>
      </c>
      <c r="B46" s="12" t="s">
        <v>24</v>
      </c>
      <c r="C46" s="12" t="s">
        <v>21</v>
      </c>
      <c r="D46" s="12" t="s">
        <v>19</v>
      </c>
      <c r="E46" s="12">
        <v>55</v>
      </c>
      <c r="F46" s="12">
        <v>84</v>
      </c>
      <c r="G46" s="12" t="str">
        <f t="shared" si="0"/>
        <v>Pass</v>
      </c>
      <c r="H46" s="12" t="str">
        <f t="shared" si="1"/>
        <v>Poor</v>
      </c>
    </row>
    <row r="47" spans="1:8" x14ac:dyDescent="0.25">
      <c r="A47" s="12">
        <v>1046</v>
      </c>
      <c r="B47" s="12" t="s">
        <v>25</v>
      </c>
      <c r="C47" s="12" t="s">
        <v>7</v>
      </c>
      <c r="D47" s="12" t="s">
        <v>11</v>
      </c>
      <c r="E47" s="12">
        <v>72</v>
      </c>
      <c r="F47" s="12">
        <v>95</v>
      </c>
      <c r="G47" s="12" t="str">
        <f t="shared" si="0"/>
        <v>Pass</v>
      </c>
      <c r="H47" s="12" t="str">
        <f t="shared" si="1"/>
        <v>Average</v>
      </c>
    </row>
    <row r="48" spans="1:8" x14ac:dyDescent="0.25">
      <c r="A48" s="12">
        <v>1047</v>
      </c>
      <c r="B48" s="12" t="s">
        <v>33</v>
      </c>
      <c r="C48" s="12" t="s">
        <v>13</v>
      </c>
      <c r="D48" s="12" t="s">
        <v>14</v>
      </c>
      <c r="E48" s="12">
        <v>91</v>
      </c>
      <c r="F48" s="12">
        <v>89</v>
      </c>
      <c r="G48" s="12" t="str">
        <f t="shared" si="0"/>
        <v>Pass</v>
      </c>
      <c r="H48" s="12" t="str">
        <f t="shared" si="1"/>
        <v>Excellent</v>
      </c>
    </row>
    <row r="49" spans="1:8" x14ac:dyDescent="0.25">
      <c r="A49" s="12">
        <v>1048</v>
      </c>
      <c r="B49" s="12" t="s">
        <v>15</v>
      </c>
      <c r="C49" s="12" t="s">
        <v>13</v>
      </c>
      <c r="D49" s="12" t="s">
        <v>14</v>
      </c>
      <c r="E49" s="12">
        <v>43</v>
      </c>
      <c r="F49" s="12">
        <v>66</v>
      </c>
      <c r="G49" s="12" t="str">
        <f t="shared" si="0"/>
        <v>Fail</v>
      </c>
      <c r="H49" s="12" t="str">
        <f t="shared" si="1"/>
        <v>Poor</v>
      </c>
    </row>
    <row r="50" spans="1:8" x14ac:dyDescent="0.25">
      <c r="A50" s="12">
        <v>1049</v>
      </c>
      <c r="B50" s="12" t="s">
        <v>15</v>
      </c>
      <c r="C50" s="12" t="s">
        <v>21</v>
      </c>
      <c r="D50" s="12" t="s">
        <v>19</v>
      </c>
      <c r="E50" s="12">
        <v>75</v>
      </c>
      <c r="F50" s="12">
        <v>71</v>
      </c>
      <c r="G50" s="12" t="str">
        <f t="shared" si="0"/>
        <v>Pass</v>
      </c>
      <c r="H50" s="12" t="str">
        <f t="shared" si="1"/>
        <v>Average</v>
      </c>
    </row>
    <row r="51" spans="1:8" x14ac:dyDescent="0.25">
      <c r="A51" s="12">
        <v>1050</v>
      </c>
      <c r="B51" s="12" t="s">
        <v>15</v>
      </c>
      <c r="C51" s="12" t="s">
        <v>7</v>
      </c>
      <c r="D51" s="12" t="s">
        <v>14</v>
      </c>
      <c r="E51" s="12">
        <v>43</v>
      </c>
      <c r="F51" s="12">
        <v>82</v>
      </c>
      <c r="G51" s="12" t="str">
        <f t="shared" si="0"/>
        <v>Fail</v>
      </c>
      <c r="H51" s="12" t="str">
        <f t="shared" si="1"/>
        <v>Poor</v>
      </c>
    </row>
    <row r="52" spans="1:8" x14ac:dyDescent="0.25">
      <c r="A52" s="12">
        <v>1051</v>
      </c>
      <c r="B52" s="12" t="s">
        <v>12</v>
      </c>
      <c r="C52" s="12" t="s">
        <v>7</v>
      </c>
      <c r="D52" s="12" t="s">
        <v>11</v>
      </c>
      <c r="E52" s="12">
        <v>59</v>
      </c>
      <c r="F52" s="12">
        <v>93</v>
      </c>
      <c r="G52" s="12" t="str">
        <f t="shared" si="0"/>
        <v>Pass</v>
      </c>
      <c r="H52" s="12" t="str">
        <f t="shared" si="1"/>
        <v>Poor</v>
      </c>
    </row>
    <row r="53" spans="1:8" x14ac:dyDescent="0.25">
      <c r="A53" s="12">
        <v>1052</v>
      </c>
      <c r="B53" s="12" t="s">
        <v>29</v>
      </c>
      <c r="C53" s="12" t="s">
        <v>10</v>
      </c>
      <c r="D53" s="12" t="s">
        <v>17</v>
      </c>
      <c r="E53" s="12">
        <v>73</v>
      </c>
      <c r="F53" s="12">
        <v>71</v>
      </c>
      <c r="G53" s="12" t="str">
        <f t="shared" si="0"/>
        <v>Pass</v>
      </c>
      <c r="H53" s="12" t="str">
        <f t="shared" si="1"/>
        <v>Average</v>
      </c>
    </row>
    <row r="54" spans="1:8" x14ac:dyDescent="0.25">
      <c r="A54" s="12">
        <v>1053</v>
      </c>
      <c r="B54" s="12" t="s">
        <v>33</v>
      </c>
      <c r="C54" s="12" t="s">
        <v>13</v>
      </c>
      <c r="D54" s="12" t="s">
        <v>14</v>
      </c>
      <c r="E54" s="12">
        <v>80</v>
      </c>
      <c r="F54" s="12">
        <v>70</v>
      </c>
      <c r="G54" s="12" t="str">
        <f t="shared" si="0"/>
        <v>Pass</v>
      </c>
      <c r="H54" s="12" t="str">
        <f t="shared" si="1"/>
        <v>Good</v>
      </c>
    </row>
    <row r="55" spans="1:8" x14ac:dyDescent="0.25">
      <c r="A55" s="12">
        <v>1054</v>
      </c>
      <c r="B55" s="12" t="s">
        <v>33</v>
      </c>
      <c r="C55" s="12" t="s">
        <v>10</v>
      </c>
      <c r="D55" s="12" t="s">
        <v>11</v>
      </c>
      <c r="E55" s="12">
        <v>39</v>
      </c>
      <c r="F55" s="12">
        <v>98</v>
      </c>
      <c r="G55" s="12" t="str">
        <f t="shared" si="0"/>
        <v>Fail</v>
      </c>
      <c r="H55" s="12" t="str">
        <f t="shared" si="1"/>
        <v>Poor</v>
      </c>
    </row>
    <row r="56" spans="1:8" x14ac:dyDescent="0.25">
      <c r="A56" s="12">
        <v>1055</v>
      </c>
      <c r="B56" s="12" t="s">
        <v>26</v>
      </c>
      <c r="C56" s="12" t="s">
        <v>21</v>
      </c>
      <c r="D56" s="12" t="s">
        <v>14</v>
      </c>
      <c r="E56" s="12">
        <v>31</v>
      </c>
      <c r="F56" s="12">
        <v>86</v>
      </c>
      <c r="G56" s="12" t="str">
        <f t="shared" si="0"/>
        <v>Fail</v>
      </c>
      <c r="H56" s="12" t="str">
        <f t="shared" si="1"/>
        <v>Poor</v>
      </c>
    </row>
    <row r="57" spans="1:8" x14ac:dyDescent="0.25">
      <c r="A57" s="12">
        <v>1056</v>
      </c>
      <c r="B57" s="12" t="s">
        <v>27</v>
      </c>
      <c r="C57" s="12" t="s">
        <v>7</v>
      </c>
      <c r="D57" s="12" t="s">
        <v>11</v>
      </c>
      <c r="E57" s="12">
        <v>96</v>
      </c>
      <c r="F57" s="12">
        <v>85</v>
      </c>
      <c r="G57" s="12" t="str">
        <f t="shared" si="0"/>
        <v>Pass</v>
      </c>
      <c r="H57" s="12" t="str">
        <f t="shared" si="1"/>
        <v>Excellent</v>
      </c>
    </row>
    <row r="58" spans="1:8" x14ac:dyDescent="0.25">
      <c r="A58" s="12">
        <v>1057</v>
      </c>
      <c r="B58" s="12" t="s">
        <v>20</v>
      </c>
      <c r="C58" s="12" t="s">
        <v>21</v>
      </c>
      <c r="D58" s="12" t="s">
        <v>8</v>
      </c>
      <c r="E58" s="12">
        <v>86</v>
      </c>
      <c r="F58" s="12">
        <v>66</v>
      </c>
      <c r="G58" s="12" t="str">
        <f t="shared" si="0"/>
        <v>Pass</v>
      </c>
      <c r="H58" s="12" t="str">
        <f t="shared" si="1"/>
        <v>Good</v>
      </c>
    </row>
    <row r="59" spans="1:8" x14ac:dyDescent="0.25">
      <c r="A59" s="12">
        <v>1058</v>
      </c>
      <c r="B59" s="12" t="s">
        <v>32</v>
      </c>
      <c r="C59" s="12" t="s">
        <v>21</v>
      </c>
      <c r="D59" s="12" t="s">
        <v>14</v>
      </c>
      <c r="E59" s="12">
        <v>46</v>
      </c>
      <c r="F59" s="12">
        <v>79</v>
      </c>
      <c r="G59" s="12" t="str">
        <f t="shared" si="0"/>
        <v>Pass</v>
      </c>
      <c r="H59" s="12" t="str">
        <f t="shared" si="1"/>
        <v>Poor</v>
      </c>
    </row>
    <row r="60" spans="1:8" x14ac:dyDescent="0.25">
      <c r="A60" s="12">
        <v>1059</v>
      </c>
      <c r="B60" s="12" t="s">
        <v>9</v>
      </c>
      <c r="C60" s="12" t="s">
        <v>10</v>
      </c>
      <c r="D60" s="12" t="s">
        <v>17</v>
      </c>
      <c r="E60" s="12">
        <v>30</v>
      </c>
      <c r="F60" s="12">
        <v>60</v>
      </c>
      <c r="G60" s="12" t="str">
        <f t="shared" si="0"/>
        <v>Fail</v>
      </c>
      <c r="H60" s="12" t="str">
        <f t="shared" si="1"/>
        <v>Poor</v>
      </c>
    </row>
    <row r="61" spans="1:8" x14ac:dyDescent="0.25">
      <c r="A61" s="12">
        <v>1060</v>
      </c>
      <c r="B61" s="12" t="s">
        <v>32</v>
      </c>
      <c r="C61" s="12" t="s">
        <v>10</v>
      </c>
      <c r="D61" s="12" t="s">
        <v>11</v>
      </c>
      <c r="E61" s="12">
        <v>95</v>
      </c>
      <c r="F61" s="12">
        <v>88</v>
      </c>
      <c r="G61" s="12" t="str">
        <f t="shared" si="0"/>
        <v>Pass</v>
      </c>
      <c r="H61" s="12" t="str">
        <f t="shared" si="1"/>
        <v>Excellent</v>
      </c>
    </row>
    <row r="62" spans="1:8" x14ac:dyDescent="0.25">
      <c r="A62" s="12">
        <v>1061</v>
      </c>
      <c r="B62" s="12" t="s">
        <v>32</v>
      </c>
      <c r="C62" s="12" t="s">
        <v>13</v>
      </c>
      <c r="D62" s="12" t="s">
        <v>8</v>
      </c>
      <c r="E62" s="12">
        <v>46</v>
      </c>
      <c r="F62" s="12">
        <v>86</v>
      </c>
      <c r="G62" s="12" t="str">
        <f t="shared" si="0"/>
        <v>Pass</v>
      </c>
      <c r="H62" s="12" t="str">
        <f t="shared" si="1"/>
        <v>Poor</v>
      </c>
    </row>
    <row r="63" spans="1:8" x14ac:dyDescent="0.25">
      <c r="A63" s="12">
        <v>1062</v>
      </c>
      <c r="B63" s="12" t="s">
        <v>9</v>
      </c>
      <c r="C63" s="12" t="s">
        <v>21</v>
      </c>
      <c r="D63" s="12" t="s">
        <v>17</v>
      </c>
      <c r="E63" s="12">
        <v>93</v>
      </c>
      <c r="F63" s="12">
        <v>85</v>
      </c>
      <c r="G63" s="12" t="str">
        <f t="shared" si="0"/>
        <v>Pass</v>
      </c>
      <c r="H63" s="12" t="str">
        <f t="shared" si="1"/>
        <v>Excellent</v>
      </c>
    </row>
    <row r="64" spans="1:8" x14ac:dyDescent="0.25">
      <c r="A64" s="12">
        <v>1063</v>
      </c>
      <c r="B64" s="12" t="s">
        <v>28</v>
      </c>
      <c r="C64" s="12" t="s">
        <v>10</v>
      </c>
      <c r="D64" s="12" t="s">
        <v>11</v>
      </c>
      <c r="E64" s="12">
        <v>48</v>
      </c>
      <c r="F64" s="12">
        <v>73</v>
      </c>
      <c r="G64" s="12" t="str">
        <f t="shared" si="0"/>
        <v>Pass</v>
      </c>
      <c r="H64" s="12" t="str">
        <f t="shared" si="1"/>
        <v>Poor</v>
      </c>
    </row>
    <row r="65" spans="1:8" x14ac:dyDescent="0.25">
      <c r="A65" s="12">
        <v>1064</v>
      </c>
      <c r="B65" s="12" t="s">
        <v>24</v>
      </c>
      <c r="C65" s="12" t="s">
        <v>10</v>
      </c>
      <c r="D65" s="12" t="s">
        <v>8</v>
      </c>
      <c r="E65" s="12">
        <v>56</v>
      </c>
      <c r="F65" s="12">
        <v>65</v>
      </c>
      <c r="G65" s="12" t="str">
        <f t="shared" si="0"/>
        <v>Pass</v>
      </c>
      <c r="H65" s="12" t="str">
        <f t="shared" si="1"/>
        <v>Poor</v>
      </c>
    </row>
    <row r="66" spans="1:8" x14ac:dyDescent="0.25">
      <c r="A66" s="12">
        <v>1065</v>
      </c>
      <c r="B66" s="12" t="s">
        <v>27</v>
      </c>
      <c r="C66" s="12" t="s">
        <v>13</v>
      </c>
      <c r="D66" s="12" t="s">
        <v>19</v>
      </c>
      <c r="E66" s="12">
        <v>59</v>
      </c>
      <c r="F66" s="12">
        <v>92</v>
      </c>
      <c r="G66" s="12" t="str">
        <f t="shared" si="0"/>
        <v>Pass</v>
      </c>
      <c r="H66" s="12" t="str">
        <f t="shared" si="1"/>
        <v>Poor</v>
      </c>
    </row>
    <row r="67" spans="1:8" x14ac:dyDescent="0.25">
      <c r="A67" s="12">
        <v>1066</v>
      </c>
      <c r="B67" s="12" t="s">
        <v>23</v>
      </c>
      <c r="C67" s="12" t="s">
        <v>13</v>
      </c>
      <c r="D67" s="12" t="s">
        <v>14</v>
      </c>
      <c r="E67" s="12">
        <v>43</v>
      </c>
      <c r="F67" s="12">
        <v>72</v>
      </c>
      <c r="G67" s="12" t="str">
        <f t="shared" ref="G67:G101" si="2">IF(E67&gt;=45,"Pass","Fail")</f>
        <v>Fail</v>
      </c>
      <c r="H67" s="12" t="str">
        <f t="shared" ref="H67:H101" si="3">IF(E67&gt;=90,"Excellent",IF(E67&gt;=80,"Good",IF(E67&gt;=60,"Average","Poor")))</f>
        <v>Poor</v>
      </c>
    </row>
    <row r="68" spans="1:8" x14ac:dyDescent="0.25">
      <c r="A68" s="12">
        <v>1067</v>
      </c>
      <c r="B68" s="12" t="s">
        <v>6</v>
      </c>
      <c r="C68" s="12" t="s">
        <v>13</v>
      </c>
      <c r="D68" s="12" t="s">
        <v>17</v>
      </c>
      <c r="E68" s="12">
        <v>85</v>
      </c>
      <c r="F68" s="12">
        <v>92</v>
      </c>
      <c r="G68" s="12" t="str">
        <f t="shared" si="2"/>
        <v>Pass</v>
      </c>
      <c r="H68" s="12" t="str">
        <f t="shared" si="3"/>
        <v>Good</v>
      </c>
    </row>
    <row r="69" spans="1:8" x14ac:dyDescent="0.25">
      <c r="A69" s="12">
        <v>1068</v>
      </c>
      <c r="B69" s="12" t="s">
        <v>28</v>
      </c>
      <c r="C69" s="12" t="s">
        <v>13</v>
      </c>
      <c r="D69" s="12" t="s">
        <v>19</v>
      </c>
      <c r="E69" s="12">
        <v>61</v>
      </c>
      <c r="F69" s="12">
        <v>98</v>
      </c>
      <c r="G69" s="12" t="str">
        <f t="shared" si="2"/>
        <v>Pass</v>
      </c>
      <c r="H69" s="12" t="str">
        <f t="shared" si="3"/>
        <v>Average</v>
      </c>
    </row>
    <row r="70" spans="1:8" x14ac:dyDescent="0.25">
      <c r="A70" s="12">
        <v>1069</v>
      </c>
      <c r="B70" s="12" t="s">
        <v>28</v>
      </c>
      <c r="C70" s="12" t="s">
        <v>13</v>
      </c>
      <c r="D70" s="12" t="s">
        <v>8</v>
      </c>
      <c r="E70" s="12">
        <v>63</v>
      </c>
      <c r="F70" s="12">
        <v>94</v>
      </c>
      <c r="G70" s="12" t="str">
        <f t="shared" si="2"/>
        <v>Pass</v>
      </c>
      <c r="H70" s="12" t="str">
        <f t="shared" si="3"/>
        <v>Average</v>
      </c>
    </row>
    <row r="71" spans="1:8" x14ac:dyDescent="0.25">
      <c r="A71" s="12">
        <v>1070</v>
      </c>
      <c r="B71" s="12" t="s">
        <v>9</v>
      </c>
      <c r="C71" s="12" t="s">
        <v>10</v>
      </c>
      <c r="D71" s="12" t="s">
        <v>8</v>
      </c>
      <c r="E71" s="12">
        <v>42</v>
      </c>
      <c r="F71" s="12">
        <v>78</v>
      </c>
      <c r="G71" s="12" t="str">
        <f t="shared" si="2"/>
        <v>Fail</v>
      </c>
      <c r="H71" s="12" t="str">
        <f t="shared" si="3"/>
        <v>Poor</v>
      </c>
    </row>
    <row r="72" spans="1:8" x14ac:dyDescent="0.25">
      <c r="A72" s="12">
        <v>1071</v>
      </c>
      <c r="B72" s="12" t="s">
        <v>34</v>
      </c>
      <c r="C72" s="12" t="s">
        <v>7</v>
      </c>
      <c r="D72" s="12" t="s">
        <v>17</v>
      </c>
      <c r="E72" s="12">
        <v>55</v>
      </c>
      <c r="F72" s="12">
        <v>71</v>
      </c>
      <c r="G72" s="12" t="str">
        <f t="shared" si="2"/>
        <v>Pass</v>
      </c>
      <c r="H72" s="12" t="str">
        <f t="shared" si="3"/>
        <v>Poor</v>
      </c>
    </row>
    <row r="73" spans="1:8" x14ac:dyDescent="0.25">
      <c r="A73" s="12">
        <v>1072</v>
      </c>
      <c r="B73" s="12" t="s">
        <v>28</v>
      </c>
      <c r="C73" s="12" t="s">
        <v>10</v>
      </c>
      <c r="D73" s="12" t="s">
        <v>19</v>
      </c>
      <c r="E73" s="12">
        <v>67</v>
      </c>
      <c r="F73" s="12">
        <v>82</v>
      </c>
      <c r="G73" s="12" t="str">
        <f t="shared" si="2"/>
        <v>Pass</v>
      </c>
      <c r="H73" s="12" t="str">
        <f t="shared" si="3"/>
        <v>Average</v>
      </c>
    </row>
    <row r="74" spans="1:8" x14ac:dyDescent="0.25">
      <c r="A74" s="12">
        <v>1073</v>
      </c>
      <c r="B74" s="12" t="s">
        <v>29</v>
      </c>
      <c r="C74" s="12" t="s">
        <v>7</v>
      </c>
      <c r="D74" s="12" t="s">
        <v>8</v>
      </c>
      <c r="E74" s="12">
        <v>68</v>
      </c>
      <c r="F74" s="12">
        <v>65</v>
      </c>
      <c r="G74" s="12" t="str">
        <f t="shared" si="2"/>
        <v>Pass</v>
      </c>
      <c r="H74" s="12" t="str">
        <f t="shared" si="3"/>
        <v>Average</v>
      </c>
    </row>
    <row r="75" spans="1:8" x14ac:dyDescent="0.25">
      <c r="A75" s="12">
        <v>1074</v>
      </c>
      <c r="B75" s="12" t="s">
        <v>33</v>
      </c>
      <c r="C75" s="12" t="s">
        <v>21</v>
      </c>
      <c r="D75" s="12" t="s">
        <v>14</v>
      </c>
      <c r="E75" s="12">
        <v>57</v>
      </c>
      <c r="F75" s="12">
        <v>89</v>
      </c>
      <c r="G75" s="12" t="str">
        <f t="shared" si="2"/>
        <v>Pass</v>
      </c>
      <c r="H75" s="12" t="str">
        <f t="shared" si="3"/>
        <v>Poor</v>
      </c>
    </row>
    <row r="76" spans="1:8" x14ac:dyDescent="0.25">
      <c r="A76" s="12">
        <v>1075</v>
      </c>
      <c r="B76" s="12" t="s">
        <v>16</v>
      </c>
      <c r="C76" s="12" t="s">
        <v>21</v>
      </c>
      <c r="D76" s="12" t="s">
        <v>19</v>
      </c>
      <c r="E76" s="12">
        <v>70</v>
      </c>
      <c r="F76" s="12">
        <v>78</v>
      </c>
      <c r="G76" s="12" t="str">
        <f t="shared" si="2"/>
        <v>Pass</v>
      </c>
      <c r="H76" s="12" t="str">
        <f t="shared" si="3"/>
        <v>Average</v>
      </c>
    </row>
    <row r="77" spans="1:8" x14ac:dyDescent="0.25">
      <c r="A77" s="12">
        <v>1076</v>
      </c>
      <c r="B77" s="12" t="s">
        <v>9</v>
      </c>
      <c r="C77" s="12" t="s">
        <v>7</v>
      </c>
      <c r="D77" s="12" t="s">
        <v>14</v>
      </c>
      <c r="E77" s="12">
        <v>85</v>
      </c>
      <c r="F77" s="12">
        <v>81</v>
      </c>
      <c r="G77" s="12" t="str">
        <f t="shared" si="2"/>
        <v>Pass</v>
      </c>
      <c r="H77" s="12" t="str">
        <f t="shared" si="3"/>
        <v>Good</v>
      </c>
    </row>
    <row r="78" spans="1:8" x14ac:dyDescent="0.25">
      <c r="A78" s="12">
        <v>1077</v>
      </c>
      <c r="B78" s="12" t="s">
        <v>16</v>
      </c>
      <c r="C78" s="12" t="s">
        <v>13</v>
      </c>
      <c r="D78" s="12" t="s">
        <v>19</v>
      </c>
      <c r="E78" s="12">
        <v>31</v>
      </c>
      <c r="F78" s="12">
        <v>95</v>
      </c>
      <c r="G78" s="12" t="str">
        <f t="shared" si="2"/>
        <v>Fail</v>
      </c>
      <c r="H78" s="12" t="str">
        <f t="shared" si="3"/>
        <v>Poor</v>
      </c>
    </row>
    <row r="79" spans="1:8" x14ac:dyDescent="0.25">
      <c r="A79" s="12">
        <v>1078</v>
      </c>
      <c r="B79" s="12" t="s">
        <v>12</v>
      </c>
      <c r="C79" s="12" t="s">
        <v>21</v>
      </c>
      <c r="D79" s="12" t="s">
        <v>19</v>
      </c>
      <c r="E79" s="12">
        <v>46</v>
      </c>
      <c r="F79" s="12">
        <v>93</v>
      </c>
      <c r="G79" s="12" t="str">
        <f t="shared" si="2"/>
        <v>Pass</v>
      </c>
      <c r="H79" s="12" t="str">
        <f t="shared" si="3"/>
        <v>Poor</v>
      </c>
    </row>
    <row r="80" spans="1:8" x14ac:dyDescent="0.25">
      <c r="A80" s="12">
        <v>1079</v>
      </c>
      <c r="B80" s="12" t="s">
        <v>24</v>
      </c>
      <c r="C80" s="12" t="s">
        <v>13</v>
      </c>
      <c r="D80" s="12" t="s">
        <v>8</v>
      </c>
      <c r="E80" s="12">
        <v>34</v>
      </c>
      <c r="F80" s="12">
        <v>79</v>
      </c>
      <c r="G80" s="12" t="str">
        <f t="shared" si="2"/>
        <v>Fail</v>
      </c>
      <c r="H80" s="12" t="str">
        <f t="shared" si="3"/>
        <v>Poor</v>
      </c>
    </row>
    <row r="81" spans="1:8" x14ac:dyDescent="0.25">
      <c r="A81" s="12">
        <v>1080</v>
      </c>
      <c r="B81" s="12" t="s">
        <v>26</v>
      </c>
      <c r="C81" s="12" t="s">
        <v>7</v>
      </c>
      <c r="D81" s="12" t="s">
        <v>14</v>
      </c>
      <c r="E81" s="12">
        <v>79</v>
      </c>
      <c r="F81" s="12">
        <v>82</v>
      </c>
      <c r="G81" s="12" t="str">
        <f t="shared" si="2"/>
        <v>Pass</v>
      </c>
      <c r="H81" s="12" t="str">
        <f t="shared" si="3"/>
        <v>Average</v>
      </c>
    </row>
    <row r="82" spans="1:8" x14ac:dyDescent="0.25">
      <c r="A82" s="12">
        <v>1081</v>
      </c>
      <c r="B82" s="12" t="s">
        <v>30</v>
      </c>
      <c r="C82" s="12" t="s">
        <v>7</v>
      </c>
      <c r="D82" s="12" t="s">
        <v>11</v>
      </c>
      <c r="E82" s="12">
        <v>93</v>
      </c>
      <c r="F82" s="12">
        <v>93</v>
      </c>
      <c r="G82" s="12" t="str">
        <f t="shared" si="2"/>
        <v>Pass</v>
      </c>
      <c r="H82" s="12" t="str">
        <f t="shared" si="3"/>
        <v>Excellent</v>
      </c>
    </row>
    <row r="83" spans="1:8" x14ac:dyDescent="0.25">
      <c r="A83" s="12">
        <v>1082</v>
      </c>
      <c r="B83" s="12" t="s">
        <v>34</v>
      </c>
      <c r="C83" s="12" t="s">
        <v>21</v>
      </c>
      <c r="D83" s="12" t="s">
        <v>17</v>
      </c>
      <c r="E83" s="12">
        <v>66</v>
      </c>
      <c r="F83" s="12">
        <v>78</v>
      </c>
      <c r="G83" s="12" t="str">
        <f t="shared" si="2"/>
        <v>Pass</v>
      </c>
      <c r="H83" s="12" t="str">
        <f t="shared" si="3"/>
        <v>Average</v>
      </c>
    </row>
    <row r="84" spans="1:8" x14ac:dyDescent="0.25">
      <c r="A84" s="12">
        <v>1083</v>
      </c>
      <c r="B84" s="12" t="s">
        <v>27</v>
      </c>
      <c r="C84" s="12" t="s">
        <v>21</v>
      </c>
      <c r="D84" s="12" t="s">
        <v>14</v>
      </c>
      <c r="E84" s="12">
        <v>36</v>
      </c>
      <c r="F84" s="12">
        <v>84</v>
      </c>
      <c r="G84" s="12" t="str">
        <f t="shared" si="2"/>
        <v>Fail</v>
      </c>
      <c r="H84" s="12" t="str">
        <f t="shared" si="3"/>
        <v>Poor</v>
      </c>
    </row>
    <row r="85" spans="1:8" x14ac:dyDescent="0.25">
      <c r="A85" s="12">
        <v>1084</v>
      </c>
      <c r="B85" s="12" t="s">
        <v>18</v>
      </c>
      <c r="C85" s="12" t="s">
        <v>10</v>
      </c>
      <c r="D85" s="12" t="s">
        <v>19</v>
      </c>
      <c r="E85" s="12">
        <v>51</v>
      </c>
      <c r="F85" s="12">
        <v>60</v>
      </c>
      <c r="G85" s="12" t="str">
        <f t="shared" si="2"/>
        <v>Pass</v>
      </c>
      <c r="H85" s="12" t="str">
        <f t="shared" si="3"/>
        <v>Poor</v>
      </c>
    </row>
    <row r="86" spans="1:8" x14ac:dyDescent="0.25">
      <c r="A86" s="12">
        <v>1085</v>
      </c>
      <c r="B86" s="12" t="s">
        <v>23</v>
      </c>
      <c r="C86" s="12" t="s">
        <v>13</v>
      </c>
      <c r="D86" s="12" t="s">
        <v>8</v>
      </c>
      <c r="E86" s="12">
        <v>83</v>
      </c>
      <c r="F86" s="12">
        <v>95</v>
      </c>
      <c r="G86" s="12" t="str">
        <f t="shared" si="2"/>
        <v>Pass</v>
      </c>
      <c r="H86" s="12" t="str">
        <f t="shared" si="3"/>
        <v>Good</v>
      </c>
    </row>
    <row r="87" spans="1:8" x14ac:dyDescent="0.25">
      <c r="A87" s="12">
        <v>1086</v>
      </c>
      <c r="B87" s="12" t="s">
        <v>27</v>
      </c>
      <c r="C87" s="12" t="s">
        <v>7</v>
      </c>
      <c r="D87" s="12" t="s">
        <v>17</v>
      </c>
      <c r="E87" s="12">
        <v>78</v>
      </c>
      <c r="F87" s="12">
        <v>76</v>
      </c>
      <c r="G87" s="12" t="str">
        <f t="shared" si="2"/>
        <v>Pass</v>
      </c>
      <c r="H87" s="12" t="str">
        <f t="shared" si="3"/>
        <v>Average</v>
      </c>
    </row>
    <row r="88" spans="1:8" x14ac:dyDescent="0.25">
      <c r="A88" s="12">
        <v>1087</v>
      </c>
      <c r="B88" s="12" t="s">
        <v>15</v>
      </c>
      <c r="C88" s="12" t="s">
        <v>10</v>
      </c>
      <c r="D88" s="12" t="s">
        <v>11</v>
      </c>
      <c r="E88" s="12">
        <v>98</v>
      </c>
      <c r="F88" s="12">
        <v>72</v>
      </c>
      <c r="G88" s="12" t="str">
        <f t="shared" si="2"/>
        <v>Pass</v>
      </c>
      <c r="H88" s="12" t="str">
        <f t="shared" si="3"/>
        <v>Excellent</v>
      </c>
    </row>
    <row r="89" spans="1:8" x14ac:dyDescent="0.25">
      <c r="A89" s="12">
        <v>1088</v>
      </c>
      <c r="B89" s="12" t="s">
        <v>22</v>
      </c>
      <c r="C89" s="12" t="s">
        <v>10</v>
      </c>
      <c r="D89" s="12" t="s">
        <v>17</v>
      </c>
      <c r="E89" s="12">
        <v>31</v>
      </c>
      <c r="F89" s="12">
        <v>82</v>
      </c>
      <c r="G89" s="12" t="str">
        <f t="shared" si="2"/>
        <v>Fail</v>
      </c>
      <c r="H89" s="12" t="str">
        <f t="shared" si="3"/>
        <v>Poor</v>
      </c>
    </row>
    <row r="90" spans="1:8" x14ac:dyDescent="0.25">
      <c r="A90" s="12">
        <v>1089</v>
      </c>
      <c r="B90" s="12" t="s">
        <v>24</v>
      </c>
      <c r="C90" s="12" t="s">
        <v>7</v>
      </c>
      <c r="D90" s="12" t="s">
        <v>14</v>
      </c>
      <c r="E90" s="12">
        <v>35</v>
      </c>
      <c r="F90" s="12">
        <v>69</v>
      </c>
      <c r="G90" s="12" t="str">
        <f t="shared" si="2"/>
        <v>Fail</v>
      </c>
      <c r="H90" s="12" t="str">
        <f t="shared" si="3"/>
        <v>Poor</v>
      </c>
    </row>
    <row r="91" spans="1:8" x14ac:dyDescent="0.25">
      <c r="A91" s="12">
        <v>1090</v>
      </c>
      <c r="B91" s="12" t="s">
        <v>25</v>
      </c>
      <c r="C91" s="12" t="s">
        <v>10</v>
      </c>
      <c r="D91" s="12" t="s">
        <v>8</v>
      </c>
      <c r="E91" s="12">
        <v>97</v>
      </c>
      <c r="F91" s="12">
        <v>95</v>
      </c>
      <c r="G91" s="12" t="str">
        <f t="shared" si="2"/>
        <v>Pass</v>
      </c>
      <c r="H91" s="12" t="str">
        <f t="shared" si="3"/>
        <v>Excellent</v>
      </c>
    </row>
    <row r="92" spans="1:8" x14ac:dyDescent="0.25">
      <c r="A92" s="12">
        <v>1091</v>
      </c>
      <c r="B92" s="12" t="s">
        <v>33</v>
      </c>
      <c r="C92" s="12" t="s">
        <v>21</v>
      </c>
      <c r="D92" s="12" t="s">
        <v>11</v>
      </c>
      <c r="E92" s="12">
        <v>52</v>
      </c>
      <c r="F92" s="12">
        <v>88</v>
      </c>
      <c r="G92" s="12" t="str">
        <f t="shared" si="2"/>
        <v>Pass</v>
      </c>
      <c r="H92" s="12" t="str">
        <f t="shared" si="3"/>
        <v>Poor</v>
      </c>
    </row>
    <row r="93" spans="1:8" x14ac:dyDescent="0.25">
      <c r="A93" s="12">
        <v>1092</v>
      </c>
      <c r="B93" s="12" t="s">
        <v>20</v>
      </c>
      <c r="C93" s="12" t="s">
        <v>13</v>
      </c>
      <c r="D93" s="12" t="s">
        <v>11</v>
      </c>
      <c r="E93" s="12">
        <v>92</v>
      </c>
      <c r="F93" s="12">
        <v>86</v>
      </c>
      <c r="G93" s="12" t="str">
        <f t="shared" si="2"/>
        <v>Pass</v>
      </c>
      <c r="H93" s="12" t="str">
        <f t="shared" si="3"/>
        <v>Excellent</v>
      </c>
    </row>
    <row r="94" spans="1:8" x14ac:dyDescent="0.25">
      <c r="A94" s="12">
        <v>1093</v>
      </c>
      <c r="B94" s="12" t="s">
        <v>25</v>
      </c>
      <c r="C94" s="12" t="s">
        <v>10</v>
      </c>
      <c r="D94" s="12" t="s">
        <v>17</v>
      </c>
      <c r="E94" s="12">
        <v>47</v>
      </c>
      <c r="F94" s="12">
        <v>74</v>
      </c>
      <c r="G94" s="12" t="str">
        <f t="shared" si="2"/>
        <v>Pass</v>
      </c>
      <c r="H94" s="12" t="str">
        <f t="shared" si="3"/>
        <v>Poor</v>
      </c>
    </row>
    <row r="95" spans="1:8" x14ac:dyDescent="0.25">
      <c r="A95" s="12">
        <v>1094</v>
      </c>
      <c r="B95" s="12" t="s">
        <v>24</v>
      </c>
      <c r="C95" s="12" t="s">
        <v>21</v>
      </c>
      <c r="D95" s="12" t="s">
        <v>14</v>
      </c>
      <c r="E95" s="12">
        <v>31</v>
      </c>
      <c r="F95" s="12">
        <v>70</v>
      </c>
      <c r="G95" s="12" t="str">
        <f t="shared" si="2"/>
        <v>Fail</v>
      </c>
      <c r="H95" s="12" t="str">
        <f t="shared" si="3"/>
        <v>Poor</v>
      </c>
    </row>
    <row r="96" spans="1:8" x14ac:dyDescent="0.25">
      <c r="A96" s="12">
        <v>1095</v>
      </c>
      <c r="B96" s="12" t="s">
        <v>12</v>
      </c>
      <c r="C96" s="12" t="s">
        <v>21</v>
      </c>
      <c r="D96" s="12" t="s">
        <v>8</v>
      </c>
      <c r="E96" s="12">
        <v>89</v>
      </c>
      <c r="F96" s="12">
        <v>62</v>
      </c>
      <c r="G96" s="12" t="str">
        <f t="shared" si="2"/>
        <v>Pass</v>
      </c>
      <c r="H96" s="12" t="str">
        <f t="shared" si="3"/>
        <v>Good</v>
      </c>
    </row>
    <row r="97" spans="1:8" x14ac:dyDescent="0.25">
      <c r="A97" s="12">
        <v>1096</v>
      </c>
      <c r="B97" s="12" t="s">
        <v>23</v>
      </c>
      <c r="C97" s="12" t="s">
        <v>10</v>
      </c>
      <c r="D97" s="12" t="s">
        <v>14</v>
      </c>
      <c r="E97" s="12">
        <v>60</v>
      </c>
      <c r="F97" s="12">
        <v>60</v>
      </c>
      <c r="G97" s="12" t="str">
        <f t="shared" si="2"/>
        <v>Pass</v>
      </c>
      <c r="H97" s="12" t="str">
        <f t="shared" si="3"/>
        <v>Average</v>
      </c>
    </row>
    <row r="98" spans="1:8" x14ac:dyDescent="0.25">
      <c r="A98" s="12">
        <v>1097</v>
      </c>
      <c r="B98" s="12" t="s">
        <v>27</v>
      </c>
      <c r="C98" s="12" t="s">
        <v>13</v>
      </c>
      <c r="D98" s="12" t="s">
        <v>8</v>
      </c>
      <c r="E98" s="12">
        <v>86</v>
      </c>
      <c r="F98" s="12">
        <v>75</v>
      </c>
      <c r="G98" s="12" t="str">
        <f t="shared" si="2"/>
        <v>Pass</v>
      </c>
      <c r="H98" s="12" t="str">
        <f t="shared" si="3"/>
        <v>Good</v>
      </c>
    </row>
    <row r="99" spans="1:8" x14ac:dyDescent="0.25">
      <c r="A99" s="12">
        <v>1098</v>
      </c>
      <c r="B99" s="12" t="s">
        <v>34</v>
      </c>
      <c r="C99" s="12" t="s">
        <v>10</v>
      </c>
      <c r="D99" s="12" t="s">
        <v>17</v>
      </c>
      <c r="E99" s="12">
        <v>68</v>
      </c>
      <c r="F99" s="12">
        <v>86</v>
      </c>
      <c r="G99" s="12" t="str">
        <f t="shared" si="2"/>
        <v>Pass</v>
      </c>
      <c r="H99" s="12" t="str">
        <f t="shared" si="3"/>
        <v>Average</v>
      </c>
    </row>
    <row r="100" spans="1:8" x14ac:dyDescent="0.25">
      <c r="A100" s="12">
        <v>1099</v>
      </c>
      <c r="B100" s="12" t="s">
        <v>6</v>
      </c>
      <c r="C100" s="12" t="s">
        <v>7</v>
      </c>
      <c r="D100" s="12" t="s">
        <v>14</v>
      </c>
      <c r="E100" s="12">
        <v>39</v>
      </c>
      <c r="F100" s="12">
        <v>78</v>
      </c>
      <c r="G100" s="12" t="str">
        <f t="shared" si="2"/>
        <v>Fail</v>
      </c>
      <c r="H100" s="12" t="str">
        <f t="shared" si="3"/>
        <v>Poor</v>
      </c>
    </row>
    <row r="101" spans="1:8" x14ac:dyDescent="0.25">
      <c r="A101" s="12">
        <v>1100</v>
      </c>
      <c r="B101" s="12" t="s">
        <v>20</v>
      </c>
      <c r="C101" s="12" t="s">
        <v>10</v>
      </c>
      <c r="D101" s="12" t="s">
        <v>14</v>
      </c>
      <c r="E101" s="12">
        <v>64</v>
      </c>
      <c r="F101" s="12">
        <v>66</v>
      </c>
      <c r="G101" s="12" t="str">
        <f t="shared" si="2"/>
        <v>Pass</v>
      </c>
      <c r="H101" s="12" t="str">
        <f t="shared" si="3"/>
        <v>Average</v>
      </c>
    </row>
  </sheetData>
  <mergeCells count="1"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 Tables</vt:lpstr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A. Anand Kumar</cp:lastModifiedBy>
  <dcterms:created xsi:type="dcterms:W3CDTF">2026-04-17T13:05:21Z</dcterms:created>
  <dcterms:modified xsi:type="dcterms:W3CDTF">2026-04-23T16:45:45Z</dcterms:modified>
</cp:coreProperties>
</file>